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ragsharma/Downloads/dataset/"/>
    </mc:Choice>
  </mc:AlternateContent>
  <xr:revisionPtr revIDLastSave="0" documentId="13_ncr:1_{312B54F4-11B1-594E-B45C-9CA622CE8070}" xr6:coauthVersionLast="47" xr6:coauthVersionMax="47" xr10:uidLastSave="{00000000-0000-0000-0000-000000000000}"/>
  <bookViews>
    <workbookView xWindow="0" yWindow="680" windowWidth="29400" windowHeight="18440" xr2:uid="{E2906B55-669F-084D-962D-A9C46669AFC6}"/>
  </bookViews>
  <sheets>
    <sheet name="district wise centroids" sheetId="1" r:id="rId1"/>
    <sheet name="distance calculator" sheetId="2" r:id="rId2"/>
    <sheet name="select within distance" sheetId="3" r:id="rId3"/>
    <sheet name="select by location" sheetId="4" r:id="rId4"/>
    <sheet name="nearest neighbour" sheetId="5" r:id="rId5"/>
    <sheet name="slope calculation" sheetId="6" r:id="rId6"/>
    <sheet name="BEARING" sheetId="9" r:id="rId7"/>
  </sheets>
  <definedNames>
    <definedName name="_xlnm._FilterDatabase" localSheetId="0" hidden="1">'district wise centroids'!$B$1:$D$595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F31" i="9" s="1"/>
  <c r="M8" i="9"/>
  <c r="F15" i="9" s="1"/>
  <c r="F594" i="9" l="1"/>
  <c r="F550" i="9"/>
  <c r="F512" i="9"/>
  <c r="F466" i="9"/>
  <c r="F422" i="9"/>
  <c r="F384" i="9"/>
  <c r="F338" i="9"/>
  <c r="F294" i="9"/>
  <c r="F256" i="9"/>
  <c r="F200" i="9"/>
  <c r="F138" i="9"/>
  <c r="F74" i="9"/>
  <c r="F592" i="9"/>
  <c r="F546" i="9"/>
  <c r="F502" i="9"/>
  <c r="F464" i="9"/>
  <c r="F418" i="9"/>
  <c r="F374" i="9"/>
  <c r="F336" i="9"/>
  <c r="F290" i="9"/>
  <c r="F246" i="9"/>
  <c r="F199" i="9"/>
  <c r="F136" i="9"/>
  <c r="F72" i="9"/>
  <c r="F582" i="9"/>
  <c r="F544" i="9"/>
  <c r="F498" i="9"/>
  <c r="F454" i="9"/>
  <c r="F416" i="9"/>
  <c r="F370" i="9"/>
  <c r="F326" i="9"/>
  <c r="F288" i="9"/>
  <c r="F242" i="9"/>
  <c r="F183" i="9"/>
  <c r="F135" i="9"/>
  <c r="F71" i="9"/>
  <c r="F578" i="9"/>
  <c r="F534" i="9"/>
  <c r="F496" i="9"/>
  <c r="F450" i="9"/>
  <c r="F406" i="9"/>
  <c r="F368" i="9"/>
  <c r="F322" i="9"/>
  <c r="F278" i="9"/>
  <c r="F240" i="9"/>
  <c r="F178" i="9"/>
  <c r="F119" i="9"/>
  <c r="F55" i="9"/>
  <c r="F576" i="9"/>
  <c r="F530" i="9"/>
  <c r="F486" i="9"/>
  <c r="F448" i="9"/>
  <c r="F402" i="9"/>
  <c r="F358" i="9"/>
  <c r="F320" i="9"/>
  <c r="F274" i="9"/>
  <c r="F224" i="9"/>
  <c r="F176" i="9"/>
  <c r="F114" i="9"/>
  <c r="F50" i="9"/>
  <c r="F566" i="9"/>
  <c r="F528" i="9"/>
  <c r="F482" i="9"/>
  <c r="F438" i="9"/>
  <c r="F400" i="9"/>
  <c r="F354" i="9"/>
  <c r="F310" i="9"/>
  <c r="F272" i="9"/>
  <c r="F223" i="9"/>
  <c r="F160" i="9"/>
  <c r="F112" i="9"/>
  <c r="F48" i="9"/>
  <c r="F562" i="9"/>
  <c r="F518" i="9"/>
  <c r="F480" i="9"/>
  <c r="F434" i="9"/>
  <c r="F390" i="9"/>
  <c r="F352" i="9"/>
  <c r="F306" i="9"/>
  <c r="F262" i="9"/>
  <c r="F218" i="9"/>
  <c r="F159" i="9"/>
  <c r="F96" i="9"/>
  <c r="F32" i="9"/>
  <c r="F5" i="9"/>
  <c r="F560" i="9"/>
  <c r="F514" i="9"/>
  <c r="F470" i="9"/>
  <c r="F432" i="9"/>
  <c r="F386" i="9"/>
  <c r="F342" i="9"/>
  <c r="F304" i="9"/>
  <c r="F258" i="9"/>
  <c r="F202" i="9"/>
  <c r="F154" i="9"/>
  <c r="F95" i="9"/>
  <c r="F590" i="9"/>
  <c r="F574" i="9"/>
  <c r="F558" i="9"/>
  <c r="F542" i="9"/>
  <c r="F526" i="9"/>
  <c r="G526" i="9" s="1" a="1"/>
  <c r="G526" i="9" s="1"/>
  <c r="F510" i="9"/>
  <c r="G510" i="9" s="1" a="1"/>
  <c r="G510" i="9" s="1"/>
  <c r="F494" i="9"/>
  <c r="G494" i="9" s="1" a="1"/>
  <c r="G494" i="9" s="1"/>
  <c r="F478" i="9"/>
  <c r="G478" i="9" s="1" a="1"/>
  <c r="G478" i="9" s="1"/>
  <c r="F462" i="9"/>
  <c r="F446" i="9"/>
  <c r="F430" i="9"/>
  <c r="F414" i="9"/>
  <c r="F398" i="9"/>
  <c r="F382" i="9"/>
  <c r="G382" i="9" s="1" a="1"/>
  <c r="G382" i="9" s="1"/>
  <c r="F366" i="9"/>
  <c r="F350" i="9"/>
  <c r="G350" i="9" s="1" a="1"/>
  <c r="G350" i="9" s="1"/>
  <c r="F334" i="9"/>
  <c r="F318" i="9"/>
  <c r="F302" i="9"/>
  <c r="F286" i="9"/>
  <c r="F270" i="9"/>
  <c r="F254" i="9"/>
  <c r="F234" i="9"/>
  <c r="G234" i="9" s="1" a="1"/>
  <c r="G234" i="9" s="1"/>
  <c r="F215" i="9"/>
  <c r="F192" i="9"/>
  <c r="F170" i="9"/>
  <c r="F151" i="9"/>
  <c r="F128" i="9"/>
  <c r="F106" i="9"/>
  <c r="F87" i="9"/>
  <c r="F64" i="9"/>
  <c r="G64" i="9" s="1" a="1"/>
  <c r="G64" i="9" s="1"/>
  <c r="F42" i="9"/>
  <c r="G42" i="9" s="1" a="1"/>
  <c r="G42" i="9" s="1"/>
  <c r="F23" i="9"/>
  <c r="F575" i="9"/>
  <c r="F527" i="9"/>
  <c r="F479" i="9"/>
  <c r="F431" i="9"/>
  <c r="F383" i="9"/>
  <c r="G383" i="9" s="1" a="1"/>
  <c r="G383" i="9" s="1"/>
  <c r="F335" i="9"/>
  <c r="F287" i="9"/>
  <c r="G287" i="9" s="1" a="1"/>
  <c r="G287" i="9" s="1"/>
  <c r="F239" i="9"/>
  <c r="F194" i="9"/>
  <c r="F130" i="9"/>
  <c r="F66" i="9"/>
  <c r="E9" i="9"/>
  <c r="F586" i="9"/>
  <c r="G586" i="9" s="1" a="1"/>
  <c r="G586" i="9" s="1"/>
  <c r="F570" i="9"/>
  <c r="G570" i="9" s="1" a="1"/>
  <c r="G570" i="9" s="1"/>
  <c r="F554" i="9"/>
  <c r="G554" i="9" s="1" a="1"/>
  <c r="G554" i="9" s="1"/>
  <c r="F538" i="9"/>
  <c r="F522" i="9"/>
  <c r="F506" i="9"/>
  <c r="F490" i="9"/>
  <c r="F474" i="9"/>
  <c r="G474" i="9" s="1" a="1"/>
  <c r="G474" i="9" s="1"/>
  <c r="F458" i="9"/>
  <c r="G458" i="9" s="1" a="1"/>
  <c r="G458" i="9" s="1"/>
  <c r="F442" i="9"/>
  <c r="G442" i="9" s="1" a="1"/>
  <c r="G442" i="9" s="1"/>
  <c r="F426" i="9"/>
  <c r="G426" i="9" s="1" a="1"/>
  <c r="G426" i="9" s="1"/>
  <c r="F410" i="9"/>
  <c r="F394" i="9"/>
  <c r="F378" i="9"/>
  <c r="F362" i="9"/>
  <c r="F346" i="9"/>
  <c r="G346" i="9" s="1" a="1"/>
  <c r="G346" i="9" s="1"/>
  <c r="F330" i="9"/>
  <c r="G330" i="9" s="1" a="1"/>
  <c r="G330" i="9" s="1"/>
  <c r="F314" i="9"/>
  <c r="F298" i="9"/>
  <c r="G298" i="9" s="1" a="1"/>
  <c r="G298" i="9" s="1"/>
  <c r="F282" i="9"/>
  <c r="F266" i="9"/>
  <c r="F250" i="9"/>
  <c r="F232" i="9"/>
  <c r="F210" i="9"/>
  <c r="F191" i="9"/>
  <c r="F168" i="9"/>
  <c r="G168" i="9" s="1" a="1"/>
  <c r="G168" i="9" s="1"/>
  <c r="F146" i="9"/>
  <c r="F127" i="9"/>
  <c r="F104" i="9"/>
  <c r="F82" i="9"/>
  <c r="F63" i="9"/>
  <c r="F40" i="9"/>
  <c r="G40" i="9" s="1" a="1"/>
  <c r="G40" i="9" s="1"/>
  <c r="F18" i="9"/>
  <c r="F90" i="9"/>
  <c r="G90" i="9" s="1" a="1"/>
  <c r="G90" i="9" s="1"/>
  <c r="F26" i="9"/>
  <c r="G26" i="9" s="1" a="1"/>
  <c r="G26" i="9" s="1"/>
  <c r="F559" i="9"/>
  <c r="F511" i="9"/>
  <c r="F463" i="9"/>
  <c r="F415" i="9"/>
  <c r="F367" i="9"/>
  <c r="G367" i="9" s="1" a="1"/>
  <c r="G367" i="9" s="1"/>
  <c r="F319" i="9"/>
  <c r="G319" i="9" s="1" a="1"/>
  <c r="G319" i="9" s="1"/>
  <c r="F255" i="9"/>
  <c r="G255" i="9" s="1" a="1"/>
  <c r="G255" i="9" s="1"/>
  <c r="F175" i="9"/>
  <c r="F111" i="9"/>
  <c r="F88" i="9"/>
  <c r="F24" i="9"/>
  <c r="F7" i="9"/>
  <c r="F584" i="9"/>
  <c r="G584" i="9" s="1" a="1"/>
  <c r="G584" i="9" s="1"/>
  <c r="F568" i="9"/>
  <c r="G568" i="9" s="1" a="1"/>
  <c r="G568" i="9" s="1"/>
  <c r="F552" i="9"/>
  <c r="G552" i="9" s="1" a="1"/>
  <c r="G552" i="9" s="1"/>
  <c r="F536" i="9"/>
  <c r="G536" i="9" s="1" a="1"/>
  <c r="G536" i="9" s="1"/>
  <c r="F520" i="9"/>
  <c r="F504" i="9"/>
  <c r="F488" i="9"/>
  <c r="F472" i="9"/>
  <c r="F456" i="9"/>
  <c r="F440" i="9"/>
  <c r="G440" i="9" s="1" a="1"/>
  <c r="G440" i="9" s="1"/>
  <c r="F424" i="9"/>
  <c r="G424" i="9" s="1" a="1"/>
  <c r="G424" i="9" s="1"/>
  <c r="F408" i="9"/>
  <c r="G408" i="9" s="1" a="1"/>
  <c r="G408" i="9" s="1"/>
  <c r="F392" i="9"/>
  <c r="F376" i="9"/>
  <c r="F360" i="9"/>
  <c r="F344" i="9"/>
  <c r="F328" i="9"/>
  <c r="G328" i="9" s="1" a="1"/>
  <c r="G328" i="9" s="1"/>
  <c r="F312" i="9"/>
  <c r="G312" i="9" s="1" a="1"/>
  <c r="G312" i="9" s="1"/>
  <c r="F296" i="9"/>
  <c r="G296" i="9" s="1" a="1"/>
  <c r="G296" i="9" s="1"/>
  <c r="F280" i="9"/>
  <c r="G280" i="9" s="1" a="1"/>
  <c r="G280" i="9" s="1"/>
  <c r="F264" i="9"/>
  <c r="F248" i="9"/>
  <c r="F231" i="9"/>
  <c r="F208" i="9"/>
  <c r="F186" i="9"/>
  <c r="G186" i="9" s="1" a="1"/>
  <c r="G186" i="9" s="1"/>
  <c r="F167" i="9"/>
  <c r="G167" i="9" s="1" a="1"/>
  <c r="G167" i="9" s="1"/>
  <c r="F144" i="9"/>
  <c r="G144" i="9" s="1" a="1"/>
  <c r="G144" i="9" s="1"/>
  <c r="F122" i="9"/>
  <c r="G122" i="9" s="1" a="1"/>
  <c r="G122" i="9" s="1"/>
  <c r="F103" i="9"/>
  <c r="F80" i="9"/>
  <c r="F58" i="9"/>
  <c r="F39" i="9"/>
  <c r="F16" i="9"/>
  <c r="F591" i="9"/>
  <c r="G591" i="9" s="1" a="1"/>
  <c r="G591" i="9" s="1"/>
  <c r="F543" i="9"/>
  <c r="F495" i="9"/>
  <c r="G495" i="9" s="1" a="1"/>
  <c r="G495" i="9" s="1"/>
  <c r="F447" i="9"/>
  <c r="F399" i="9"/>
  <c r="F351" i="9"/>
  <c r="F303" i="9"/>
  <c r="F271" i="9"/>
  <c r="G271" i="9" s="1" a="1"/>
  <c r="G271" i="9" s="1"/>
  <c r="F216" i="9"/>
  <c r="G216" i="9" s="1" a="1"/>
  <c r="G216" i="9" s="1"/>
  <c r="F152" i="9"/>
  <c r="G152" i="9" s="1" a="1"/>
  <c r="G152" i="9" s="1"/>
  <c r="F47" i="9"/>
  <c r="G47" i="9" s="1" a="1"/>
  <c r="G47" i="9" s="1"/>
  <c r="F6" i="9"/>
  <c r="F583" i="9"/>
  <c r="F567" i="9"/>
  <c r="F551" i="9"/>
  <c r="F535" i="9"/>
  <c r="G535" i="9" s="1" a="1"/>
  <c r="G535" i="9" s="1"/>
  <c r="F519" i="9"/>
  <c r="G519" i="9" s="1" a="1"/>
  <c r="G519" i="9" s="1"/>
  <c r="F503" i="9"/>
  <c r="G503" i="9" s="1" a="1"/>
  <c r="G503" i="9" s="1"/>
  <c r="F487" i="9"/>
  <c r="G487" i="9" s="1" a="1"/>
  <c r="G487" i="9" s="1"/>
  <c r="F471" i="9"/>
  <c r="F455" i="9"/>
  <c r="F439" i="9"/>
  <c r="F423" i="9"/>
  <c r="F407" i="9"/>
  <c r="G407" i="9" s="1" a="1"/>
  <c r="G407" i="9" s="1"/>
  <c r="F391" i="9"/>
  <c r="G391" i="9" s="1" a="1"/>
  <c r="G391" i="9" s="1"/>
  <c r="F375" i="9"/>
  <c r="G375" i="9" s="1" a="1"/>
  <c r="G375" i="9" s="1"/>
  <c r="F359" i="9"/>
  <c r="G359" i="9" s="1" a="1"/>
  <c r="G359" i="9" s="1"/>
  <c r="F343" i="9"/>
  <c r="F327" i="9"/>
  <c r="F311" i="9"/>
  <c r="F295" i="9"/>
  <c r="F279" i="9"/>
  <c r="F263" i="9"/>
  <c r="F247" i="9"/>
  <c r="G247" i="9" s="1" a="1"/>
  <c r="G247" i="9" s="1"/>
  <c r="F226" i="9"/>
  <c r="G226" i="9" s="1" a="1"/>
  <c r="G226" i="9" s="1"/>
  <c r="F207" i="9"/>
  <c r="F184" i="9"/>
  <c r="F162" i="9"/>
  <c r="F143" i="9"/>
  <c r="F120" i="9"/>
  <c r="G120" i="9" s="1" a="1"/>
  <c r="G120" i="9" s="1"/>
  <c r="F98" i="9"/>
  <c r="G98" i="9" s="1" a="1"/>
  <c r="G98" i="9" s="1"/>
  <c r="F79" i="9"/>
  <c r="F56" i="9"/>
  <c r="G56" i="9" s="1" a="1"/>
  <c r="G56" i="9" s="1"/>
  <c r="F34" i="9"/>
  <c r="F222" i="9"/>
  <c r="F198" i="9"/>
  <c r="F174" i="9"/>
  <c r="F150" i="9"/>
  <c r="F126" i="9"/>
  <c r="G126" i="9" s="1" a="1"/>
  <c r="G126" i="9" s="1"/>
  <c r="F102" i="9"/>
  <c r="G102" i="9" s="1" a="1"/>
  <c r="G102" i="9" s="1"/>
  <c r="F78" i="9"/>
  <c r="F70" i="9"/>
  <c r="F46" i="9"/>
  <c r="F38" i="9"/>
  <c r="F14" i="9"/>
  <c r="F4" i="9"/>
  <c r="G4" i="9" s="1" a="1"/>
  <c r="G4" i="9" s="1"/>
  <c r="F589" i="9"/>
  <c r="F581" i="9"/>
  <c r="F573" i="9"/>
  <c r="G573" i="9" s="1" a="1"/>
  <c r="G573" i="9" s="1"/>
  <c r="F565" i="9"/>
  <c r="F557" i="9"/>
  <c r="F549" i="9"/>
  <c r="F541" i="9"/>
  <c r="F533" i="9"/>
  <c r="G533" i="9" s="1" a="1"/>
  <c r="G533" i="9" s="1"/>
  <c r="F525" i="9"/>
  <c r="F517" i="9"/>
  <c r="F509" i="9"/>
  <c r="G509" i="9" s="1" a="1"/>
  <c r="G509" i="9" s="1"/>
  <c r="F501" i="9"/>
  <c r="F493" i="9"/>
  <c r="F485" i="9"/>
  <c r="F477" i="9"/>
  <c r="F469" i="9"/>
  <c r="G469" i="9" s="1" a="1"/>
  <c r="G469" i="9" s="1"/>
  <c r="F461" i="9"/>
  <c r="G461" i="9" s="1" a="1"/>
  <c r="G461" i="9" s="1"/>
  <c r="F453" i="9"/>
  <c r="G453" i="9" s="1" a="1"/>
  <c r="G453" i="9" s="1"/>
  <c r="F445" i="9"/>
  <c r="G445" i="9" s="1" a="1"/>
  <c r="G445" i="9" s="1"/>
  <c r="F437" i="9"/>
  <c r="F429" i="9"/>
  <c r="F421" i="9"/>
  <c r="F413" i="9"/>
  <c r="F405" i="9"/>
  <c r="G405" i="9" s="1" a="1"/>
  <c r="G405" i="9" s="1"/>
  <c r="F397" i="9"/>
  <c r="F389" i="9"/>
  <c r="F381" i="9"/>
  <c r="G381" i="9" s="1" a="1"/>
  <c r="G381" i="9" s="1"/>
  <c r="F373" i="9"/>
  <c r="F365" i="9"/>
  <c r="F357" i="9"/>
  <c r="F349" i="9"/>
  <c r="F341" i="9"/>
  <c r="G341" i="9" s="1" a="1"/>
  <c r="G341" i="9" s="1"/>
  <c r="F333" i="9"/>
  <c r="G333" i="9" s="1" a="1"/>
  <c r="G333" i="9" s="1"/>
  <c r="F325" i="9"/>
  <c r="G325" i="9" s="1" a="1"/>
  <c r="G325" i="9" s="1"/>
  <c r="F317" i="9"/>
  <c r="G317" i="9" s="1" a="1"/>
  <c r="G317" i="9" s="1"/>
  <c r="F309" i="9"/>
  <c r="F301" i="9"/>
  <c r="F293" i="9"/>
  <c r="F285" i="9"/>
  <c r="F277" i="9"/>
  <c r="G277" i="9" s="1" a="1"/>
  <c r="G277" i="9" s="1"/>
  <c r="F269" i="9"/>
  <c r="G269" i="9" s="1" a="1"/>
  <c r="G269" i="9" s="1"/>
  <c r="F261" i="9"/>
  <c r="G261" i="9" s="1" a="1"/>
  <c r="G261" i="9" s="1"/>
  <c r="F253" i="9"/>
  <c r="G253" i="9" s="1" a="1"/>
  <c r="G253" i="9" s="1"/>
  <c r="F245" i="9"/>
  <c r="F237" i="9"/>
  <c r="F229" i="9"/>
  <c r="F221" i="9"/>
  <c r="F213" i="9"/>
  <c r="G213" i="9" s="1" a="1"/>
  <c r="G213" i="9" s="1"/>
  <c r="F205" i="9"/>
  <c r="G205" i="9" s="1" a="1"/>
  <c r="G205" i="9" s="1"/>
  <c r="F197" i="9"/>
  <c r="G197" i="9" s="1" a="1"/>
  <c r="G197" i="9" s="1"/>
  <c r="F189" i="9"/>
  <c r="G189" i="9" s="1" a="1"/>
  <c r="G189" i="9" s="1"/>
  <c r="F181" i="9"/>
  <c r="F173" i="9"/>
  <c r="F165" i="9"/>
  <c r="F157" i="9"/>
  <c r="F149" i="9"/>
  <c r="G149" i="9" s="1" a="1"/>
  <c r="G149" i="9" s="1"/>
  <c r="F141" i="9"/>
  <c r="F133" i="9"/>
  <c r="G133" i="9" s="1" a="1"/>
  <c r="G133" i="9" s="1"/>
  <c r="F125" i="9"/>
  <c r="G125" i="9" s="1" a="1"/>
  <c r="G125" i="9" s="1"/>
  <c r="F117" i="9"/>
  <c r="F109" i="9"/>
  <c r="F101" i="9"/>
  <c r="F93" i="9"/>
  <c r="F85" i="9"/>
  <c r="G85" i="9" s="1" a="1"/>
  <c r="G85" i="9" s="1"/>
  <c r="F77" i="9"/>
  <c r="G77" i="9" s="1" a="1"/>
  <c r="G77" i="9" s="1"/>
  <c r="F69" i="9"/>
  <c r="G69" i="9" s="1" a="1"/>
  <c r="G69" i="9" s="1"/>
  <c r="F61" i="9"/>
  <c r="G61" i="9" s="1" a="1"/>
  <c r="G61" i="9" s="1"/>
  <c r="F53" i="9"/>
  <c r="F45" i="9"/>
  <c r="F37" i="9"/>
  <c r="F29" i="9"/>
  <c r="F21" i="9"/>
  <c r="F13" i="9"/>
  <c r="G13" i="9" s="1" a="1"/>
  <c r="G13" i="9" s="1"/>
  <c r="F230" i="9"/>
  <c r="G230" i="9" s="1" a="1"/>
  <c r="G230" i="9" s="1"/>
  <c r="F206" i="9"/>
  <c r="G206" i="9" s="1" a="1"/>
  <c r="G206" i="9" s="1"/>
  <c r="F182" i="9"/>
  <c r="F158" i="9"/>
  <c r="F134" i="9"/>
  <c r="F110" i="9"/>
  <c r="F86" i="9"/>
  <c r="F54" i="9"/>
  <c r="G54" i="9" s="1" a="1"/>
  <c r="G54" i="9" s="1"/>
  <c r="F22" i="9"/>
  <c r="G22" i="9" s="1" a="1"/>
  <c r="G22" i="9" s="1"/>
  <c r="F3" i="9"/>
  <c r="G3" i="9" s="1" a="1"/>
  <c r="G3" i="9" s="1"/>
  <c r="F588" i="9"/>
  <c r="F580" i="9"/>
  <c r="F572" i="9"/>
  <c r="F564" i="9"/>
  <c r="F556" i="9"/>
  <c r="G556" i="9" s="1" a="1"/>
  <c r="G556" i="9" s="1"/>
  <c r="F548" i="9"/>
  <c r="F540" i="9"/>
  <c r="G540" i="9" s="1" a="1"/>
  <c r="G540" i="9" s="1"/>
  <c r="F532" i="9"/>
  <c r="G532" i="9" s="1" a="1"/>
  <c r="G532" i="9" s="1"/>
  <c r="F524" i="9"/>
  <c r="F516" i="9"/>
  <c r="F508" i="9"/>
  <c r="F500" i="9"/>
  <c r="F492" i="9"/>
  <c r="F484" i="9"/>
  <c r="F476" i="9"/>
  <c r="G476" i="9" s="1" a="1"/>
  <c r="G476" i="9" s="1"/>
  <c r="F468" i="9"/>
  <c r="G468" i="9" s="1" a="1"/>
  <c r="G468" i="9" s="1"/>
  <c r="F460" i="9"/>
  <c r="F452" i="9"/>
  <c r="F444" i="9"/>
  <c r="F436" i="9"/>
  <c r="F428" i="9"/>
  <c r="F420" i="9"/>
  <c r="G420" i="9" s="1" a="1"/>
  <c r="G420" i="9" s="1"/>
  <c r="F412" i="9"/>
  <c r="F404" i="9"/>
  <c r="G404" i="9" s="1" a="1"/>
  <c r="G404" i="9" s="1"/>
  <c r="F396" i="9"/>
  <c r="F388" i="9"/>
  <c r="F380" i="9"/>
  <c r="F372" i="9"/>
  <c r="F364" i="9"/>
  <c r="F356" i="9"/>
  <c r="G356" i="9" s="1" a="1"/>
  <c r="G356" i="9" s="1"/>
  <c r="F348" i="9"/>
  <c r="G348" i="9" s="1" a="1"/>
  <c r="G348" i="9" s="1"/>
  <c r="F340" i="9"/>
  <c r="G340" i="9" s="1" a="1"/>
  <c r="G340" i="9" s="1"/>
  <c r="F332" i="9"/>
  <c r="F324" i="9"/>
  <c r="F316" i="9"/>
  <c r="F308" i="9"/>
  <c r="F300" i="9"/>
  <c r="G300" i="9" s="1" a="1"/>
  <c r="G300" i="9" s="1"/>
  <c r="F292" i="9"/>
  <c r="G292" i="9" s="1" a="1"/>
  <c r="G292" i="9" s="1"/>
  <c r="F284" i="9"/>
  <c r="F276" i="9"/>
  <c r="G276" i="9" s="1" a="1"/>
  <c r="G276" i="9" s="1"/>
  <c r="F268" i="9"/>
  <c r="F260" i="9"/>
  <c r="F252" i="9"/>
  <c r="F244" i="9"/>
  <c r="F236" i="9"/>
  <c r="G236" i="9" s="1" a="1"/>
  <c r="G236" i="9" s="1"/>
  <c r="F228" i="9"/>
  <c r="F220" i="9"/>
  <c r="F212" i="9"/>
  <c r="G212" i="9" s="1" a="1"/>
  <c r="G212" i="9" s="1"/>
  <c r="F204" i="9"/>
  <c r="F196" i="9"/>
  <c r="F188" i="9"/>
  <c r="F180" i="9"/>
  <c r="F172" i="9"/>
  <c r="F164" i="9"/>
  <c r="G164" i="9" s="1" a="1"/>
  <c r="G164" i="9" s="1"/>
  <c r="F156" i="9"/>
  <c r="F148" i="9"/>
  <c r="G148" i="9" s="1" a="1"/>
  <c r="G148" i="9" s="1"/>
  <c r="F140" i="9"/>
  <c r="F132" i="9"/>
  <c r="F124" i="9"/>
  <c r="F116" i="9"/>
  <c r="F108" i="9"/>
  <c r="G108" i="9" s="1" a="1"/>
  <c r="G108" i="9" s="1"/>
  <c r="F100" i="9"/>
  <c r="G100" i="9" s="1" a="1"/>
  <c r="G100" i="9" s="1"/>
  <c r="F92" i="9"/>
  <c r="F84" i="9"/>
  <c r="F76" i="9"/>
  <c r="F68" i="9"/>
  <c r="F60" i="9"/>
  <c r="F52" i="9"/>
  <c r="F44" i="9"/>
  <c r="G44" i="9" s="1" a="1"/>
  <c r="G44" i="9" s="1"/>
  <c r="F36" i="9"/>
  <c r="F28" i="9"/>
  <c r="F20" i="9"/>
  <c r="G20" i="9" s="1" a="1"/>
  <c r="G20" i="9" s="1"/>
  <c r="F12" i="9"/>
  <c r="F238" i="9"/>
  <c r="F214" i="9"/>
  <c r="F190" i="9"/>
  <c r="F166" i="9"/>
  <c r="F142" i="9"/>
  <c r="F118" i="9"/>
  <c r="F94" i="9"/>
  <c r="G94" i="9" s="1" a="1"/>
  <c r="G94" i="9" s="1"/>
  <c r="F62" i="9"/>
  <c r="F30" i="9"/>
  <c r="F595" i="9"/>
  <c r="F587" i="9"/>
  <c r="F579" i="9"/>
  <c r="G579" i="9" s="1" a="1"/>
  <c r="G579" i="9" s="1"/>
  <c r="F571" i="9"/>
  <c r="G571" i="9" s="1" a="1"/>
  <c r="G571" i="9" s="1"/>
  <c r="F563" i="9"/>
  <c r="G563" i="9" s="1" a="1"/>
  <c r="G563" i="9" s="1"/>
  <c r="F555" i="9"/>
  <c r="G555" i="9" s="1" a="1"/>
  <c r="G555" i="9" s="1"/>
  <c r="F547" i="9"/>
  <c r="F539" i="9"/>
  <c r="F531" i="9"/>
  <c r="F523" i="9"/>
  <c r="F515" i="9"/>
  <c r="G515" i="9" s="1" a="1"/>
  <c r="G515" i="9" s="1"/>
  <c r="F507" i="9"/>
  <c r="G507" i="9" s="1" a="1"/>
  <c r="G507" i="9" s="1"/>
  <c r="F499" i="9"/>
  <c r="F491" i="9"/>
  <c r="G491" i="9" s="1" a="1"/>
  <c r="G491" i="9" s="1"/>
  <c r="F483" i="9"/>
  <c r="F475" i="9"/>
  <c r="F467" i="9"/>
  <c r="F459" i="9"/>
  <c r="F451" i="9"/>
  <c r="G451" i="9" s="1" a="1"/>
  <c r="G451" i="9" s="1"/>
  <c r="F443" i="9"/>
  <c r="F435" i="9"/>
  <c r="F427" i="9"/>
  <c r="G427" i="9" s="1" a="1"/>
  <c r="G427" i="9" s="1"/>
  <c r="F419" i="9"/>
  <c r="F411" i="9"/>
  <c r="F403" i="9"/>
  <c r="F395" i="9"/>
  <c r="F387" i="9"/>
  <c r="F379" i="9"/>
  <c r="F371" i="9"/>
  <c r="G371" i="9" s="1" a="1"/>
  <c r="G371" i="9" s="1"/>
  <c r="F363" i="9"/>
  <c r="G363" i="9" s="1" a="1"/>
  <c r="G363" i="9" s="1"/>
  <c r="F355" i="9"/>
  <c r="F347" i="9"/>
  <c r="F339" i="9"/>
  <c r="F331" i="9"/>
  <c r="F323" i="9"/>
  <c r="G323" i="9" s="1" a="1"/>
  <c r="G323" i="9" s="1"/>
  <c r="F315" i="9"/>
  <c r="F307" i="9"/>
  <c r="F299" i="9"/>
  <c r="G299" i="9" s="1" a="1"/>
  <c r="G299" i="9" s="1"/>
  <c r="F291" i="9"/>
  <c r="F283" i="9"/>
  <c r="F275" i="9"/>
  <c r="F267" i="9"/>
  <c r="F259" i="9"/>
  <c r="G259" i="9" s="1" a="1"/>
  <c r="G259" i="9" s="1"/>
  <c r="F251" i="9"/>
  <c r="F243" i="9"/>
  <c r="G243" i="9" s="1" a="1"/>
  <c r="G243" i="9" s="1"/>
  <c r="F235" i="9"/>
  <c r="G235" i="9" s="1" a="1"/>
  <c r="G235" i="9" s="1"/>
  <c r="F227" i="9"/>
  <c r="F219" i="9"/>
  <c r="F211" i="9"/>
  <c r="F203" i="9"/>
  <c r="F195" i="9"/>
  <c r="F187" i="9"/>
  <c r="G187" i="9" s="1" a="1"/>
  <c r="G187" i="9" s="1"/>
  <c r="F179" i="9"/>
  <c r="G179" i="9" s="1" a="1"/>
  <c r="G179" i="9" s="1"/>
  <c r="F171" i="9"/>
  <c r="G171" i="9" s="1" a="1"/>
  <c r="G171" i="9" s="1"/>
  <c r="F163" i="9"/>
  <c r="F155" i="9"/>
  <c r="F147" i="9"/>
  <c r="F139" i="9"/>
  <c r="F131" i="9"/>
  <c r="G131" i="9" s="1" a="1"/>
  <c r="G131" i="9" s="1"/>
  <c r="F123" i="9"/>
  <c r="F115" i="9"/>
  <c r="G115" i="9" s="1" a="1"/>
  <c r="G115" i="9" s="1"/>
  <c r="F107" i="9"/>
  <c r="G107" i="9" s="1" a="1"/>
  <c r="G107" i="9" s="1"/>
  <c r="F99" i="9"/>
  <c r="F91" i="9"/>
  <c r="F83" i="9"/>
  <c r="F75" i="9"/>
  <c r="F67" i="9"/>
  <c r="F59" i="9"/>
  <c r="F51" i="9"/>
  <c r="G51" i="9" s="1" a="1"/>
  <c r="G51" i="9" s="1"/>
  <c r="F43" i="9"/>
  <c r="G43" i="9" s="1" a="1"/>
  <c r="G43" i="9" s="1"/>
  <c r="F35" i="9"/>
  <c r="F27" i="9"/>
  <c r="F19" i="9"/>
  <c r="F11" i="9"/>
  <c r="F10" i="9"/>
  <c r="G10" i="9" s="1" a="1"/>
  <c r="G10" i="9" s="1"/>
  <c r="F593" i="9"/>
  <c r="G593" i="9" s="1" a="1"/>
  <c r="G593" i="9" s="1"/>
  <c r="F585" i="9"/>
  <c r="G585" i="9" s="1" a="1"/>
  <c r="G585" i="9" s="1"/>
  <c r="F577" i="9"/>
  <c r="G577" i="9" s="1" a="1"/>
  <c r="G577" i="9" s="1"/>
  <c r="F569" i="9"/>
  <c r="F561" i="9"/>
  <c r="F553" i="9"/>
  <c r="F545" i="9"/>
  <c r="F537" i="9"/>
  <c r="G537" i="9" s="1" a="1"/>
  <c r="G537" i="9" s="1"/>
  <c r="F529" i="9"/>
  <c r="G529" i="9" s="1" a="1"/>
  <c r="G529" i="9" s="1"/>
  <c r="F521" i="9"/>
  <c r="F513" i="9"/>
  <c r="G513" i="9" s="1" a="1"/>
  <c r="G513" i="9" s="1"/>
  <c r="F505" i="9"/>
  <c r="F497" i="9"/>
  <c r="F489" i="9"/>
  <c r="F481" i="9"/>
  <c r="F473" i="9"/>
  <c r="F465" i="9"/>
  <c r="G465" i="9" s="1" a="1"/>
  <c r="G465" i="9" s="1"/>
  <c r="F457" i="9"/>
  <c r="G457" i="9" s="1" a="1"/>
  <c r="G457" i="9" s="1"/>
  <c r="F449" i="9"/>
  <c r="G449" i="9" s="1" a="1"/>
  <c r="G449" i="9" s="1"/>
  <c r="F441" i="9"/>
  <c r="F433" i="9"/>
  <c r="F425" i="9"/>
  <c r="F417" i="9"/>
  <c r="F409" i="9"/>
  <c r="F401" i="9"/>
  <c r="G401" i="9" s="1" a="1"/>
  <c r="G401" i="9" s="1"/>
  <c r="F393" i="9"/>
  <c r="F385" i="9"/>
  <c r="F377" i="9"/>
  <c r="F369" i="9"/>
  <c r="F361" i="9"/>
  <c r="F353" i="9"/>
  <c r="F345" i="9"/>
  <c r="G345" i="9" s="1" a="1"/>
  <c r="G345" i="9" s="1"/>
  <c r="F337" i="9"/>
  <c r="F329" i="9"/>
  <c r="G329" i="9" s="1" a="1"/>
  <c r="G329" i="9" s="1"/>
  <c r="F321" i="9"/>
  <c r="G321" i="9" s="1" a="1"/>
  <c r="G321" i="9" s="1"/>
  <c r="F313" i="9"/>
  <c r="F305" i="9"/>
  <c r="F297" i="9"/>
  <c r="F289" i="9"/>
  <c r="F281" i="9"/>
  <c r="F273" i="9"/>
  <c r="F265" i="9"/>
  <c r="G265" i="9" s="1" a="1"/>
  <c r="G265" i="9" s="1"/>
  <c r="F257" i="9"/>
  <c r="G257" i="9" s="1" a="1"/>
  <c r="G257" i="9" s="1"/>
  <c r="F249" i="9"/>
  <c r="F241" i="9"/>
  <c r="F233" i="9"/>
  <c r="F225" i="9"/>
  <c r="F217" i="9"/>
  <c r="G217" i="9" s="1" a="1"/>
  <c r="G217" i="9" s="1"/>
  <c r="F209" i="9"/>
  <c r="F201" i="9"/>
  <c r="G201" i="9" s="1" a="1"/>
  <c r="G201" i="9" s="1"/>
  <c r="F193" i="9"/>
  <c r="G193" i="9" s="1" a="1"/>
  <c r="G193" i="9" s="1"/>
  <c r="F185" i="9"/>
  <c r="F177" i="9"/>
  <c r="F169" i="9"/>
  <c r="F161" i="9"/>
  <c r="F153" i="9"/>
  <c r="G153" i="9" s="1" a="1"/>
  <c r="G153" i="9" s="1"/>
  <c r="F145" i="9"/>
  <c r="G145" i="9" s="1" a="1"/>
  <c r="G145" i="9" s="1"/>
  <c r="F137" i="9"/>
  <c r="G137" i="9" s="1" a="1"/>
  <c r="G137" i="9" s="1"/>
  <c r="F129" i="9"/>
  <c r="G129" i="9" s="1" a="1"/>
  <c r="G129" i="9" s="1"/>
  <c r="F121" i="9"/>
  <c r="F113" i="9"/>
  <c r="F105" i="9"/>
  <c r="F97" i="9"/>
  <c r="F89" i="9"/>
  <c r="G89" i="9" s="1" a="1"/>
  <c r="G89" i="9" s="1"/>
  <c r="F81" i="9"/>
  <c r="F73" i="9"/>
  <c r="G73" i="9" s="1" a="1"/>
  <c r="G73" i="9" s="1"/>
  <c r="F65" i="9"/>
  <c r="G65" i="9" s="1" a="1"/>
  <c r="G65" i="9" s="1"/>
  <c r="F57" i="9"/>
  <c r="F49" i="9"/>
  <c r="F41" i="9"/>
  <c r="F33" i="9"/>
  <c r="F25" i="9"/>
  <c r="F17" i="9"/>
  <c r="G17" i="9" s="1" a="1"/>
  <c r="G17" i="9" s="1"/>
  <c r="F9" i="9"/>
  <c r="F8" i="9"/>
  <c r="G8" i="9" s="1" a="1"/>
  <c r="G8" i="9" s="1"/>
  <c r="F2" i="9"/>
  <c r="G2" i="9" s="1" a="1"/>
  <c r="G2" i="9" s="1"/>
  <c r="E490" i="9"/>
  <c r="E436" i="9"/>
  <c r="E405" i="9"/>
  <c r="E164" i="9"/>
  <c r="E571" i="9"/>
  <c r="E457" i="9"/>
  <c r="E375" i="9"/>
  <c r="E286" i="9"/>
  <c r="E239" i="9"/>
  <c r="E45" i="9"/>
  <c r="E569" i="9"/>
  <c r="E534" i="9"/>
  <c r="E454" i="9"/>
  <c r="G400" i="9" a="1"/>
  <c r="G400" i="9" s="1"/>
  <c r="E335" i="9"/>
  <c r="G218" i="9" a="1"/>
  <c r="G218" i="9" s="1"/>
  <c r="E29" i="9"/>
  <c r="E550" i="9"/>
  <c r="G530" i="9" a="1"/>
  <c r="G530" i="9" s="1"/>
  <c r="E476" i="9"/>
  <c r="E423" i="9"/>
  <c r="E370" i="9"/>
  <c r="G273" i="9" a="1"/>
  <c r="G273" i="9" s="1"/>
  <c r="G547" i="9" a="1"/>
  <c r="G547" i="9" s="1"/>
  <c r="G504" i="9" a="1"/>
  <c r="G504" i="9" s="1"/>
  <c r="E391" i="9"/>
  <c r="E369" i="9"/>
  <c r="G311" i="9" a="1"/>
  <c r="G311" i="9" s="1"/>
  <c r="E111" i="9"/>
  <c r="G578" i="9" a="1"/>
  <c r="G578" i="9" s="1"/>
  <c r="E562" i="9"/>
  <c r="G546" i="9" a="1"/>
  <c r="G546" i="9" s="1"/>
  <c r="G522" i="9" a="1"/>
  <c r="G522" i="9" s="1"/>
  <c r="G470" i="9" a="1"/>
  <c r="G470" i="9" s="1"/>
  <c r="G441" i="9" a="1"/>
  <c r="G441" i="9" s="1"/>
  <c r="G417" i="9" a="1"/>
  <c r="G417" i="9" s="1"/>
  <c r="G389" i="9" a="1"/>
  <c r="G389" i="9" s="1"/>
  <c r="G365" i="9" a="1"/>
  <c r="G365" i="9" s="1"/>
  <c r="G308" i="9" a="1"/>
  <c r="G308" i="9" s="1"/>
  <c r="E256" i="9"/>
  <c r="E213" i="9"/>
  <c r="E102" i="9"/>
  <c r="E588" i="9"/>
  <c r="G558" i="9" a="1"/>
  <c r="G558" i="9" s="1"/>
  <c r="E517" i="9"/>
  <c r="E383" i="9"/>
  <c r="G286" i="9" a="1"/>
  <c r="G286" i="9" s="1"/>
  <c r="G242" i="9" a="1"/>
  <c r="G242" i="9" s="1"/>
  <c r="E557" i="9"/>
  <c r="E486" i="9"/>
  <c r="E431" i="9"/>
  <c r="E336" i="9"/>
  <c r="G160" i="9" a="1"/>
  <c r="G160" i="9" s="1"/>
  <c r="E586" i="9"/>
  <c r="G550" i="9" a="1"/>
  <c r="G550" i="9" s="1"/>
  <c r="E510" i="9"/>
  <c r="G484" i="9" a="1"/>
  <c r="G484" i="9" s="1"/>
  <c r="G423" i="9" a="1"/>
  <c r="G423" i="9" s="1"/>
  <c r="G374" i="9" a="1"/>
  <c r="G374" i="9" s="1"/>
  <c r="E277" i="9"/>
  <c r="E145" i="9"/>
  <c r="E581" i="9"/>
  <c r="E505" i="9"/>
  <c r="G398" i="9" a="1"/>
  <c r="G398" i="9" s="1"/>
  <c r="E120" i="9"/>
  <c r="E524" i="9"/>
  <c r="E418" i="9"/>
  <c r="E214" i="9"/>
  <c r="E590" i="9"/>
  <c r="E578" i="9"/>
  <c r="E561" i="9"/>
  <c r="E545" i="9"/>
  <c r="G520" i="9" a="1"/>
  <c r="G520" i="9" s="1"/>
  <c r="E491" i="9"/>
  <c r="E469" i="9"/>
  <c r="G438" i="9" a="1"/>
  <c r="G438" i="9" s="1"/>
  <c r="G415" i="9" a="1"/>
  <c r="G415" i="9" s="1"/>
  <c r="G388" i="9" a="1"/>
  <c r="G388" i="9" s="1"/>
  <c r="E350" i="9"/>
  <c r="E308" i="9"/>
  <c r="G252" i="9" a="1"/>
  <c r="G252" i="9" s="1"/>
  <c r="E183" i="9"/>
  <c r="E97" i="9"/>
  <c r="E568" i="9"/>
  <c r="E473" i="9"/>
  <c r="G450" i="9" a="1"/>
  <c r="G450" i="9" s="1"/>
  <c r="E267" i="9"/>
  <c r="E589" i="9"/>
  <c r="E577" i="9"/>
  <c r="E560" i="9"/>
  <c r="E537" i="9"/>
  <c r="G490" i="9" a="1"/>
  <c r="G490" i="9" s="1"/>
  <c r="G464" i="9" a="1"/>
  <c r="G464" i="9" s="1"/>
  <c r="E437" i="9"/>
  <c r="G386" i="9" a="1"/>
  <c r="G386" i="9" s="1"/>
  <c r="E347" i="9"/>
  <c r="E300" i="9"/>
  <c r="E246" i="9"/>
  <c r="E181" i="9"/>
  <c r="E54" i="9"/>
  <c r="E206" i="9"/>
  <c r="E93" i="9"/>
  <c r="E575" i="9"/>
  <c r="E556" i="9"/>
  <c r="E500" i="9"/>
  <c r="G463" i="9" a="1"/>
  <c r="G463" i="9" s="1"/>
  <c r="G430" i="9" a="1"/>
  <c r="G430" i="9" s="1"/>
  <c r="G397" i="9" a="1"/>
  <c r="G397" i="9" s="1"/>
  <c r="E333" i="9"/>
  <c r="G583" i="9" a="1"/>
  <c r="G583" i="9" s="1"/>
  <c r="G574" i="9" a="1"/>
  <c r="G574" i="9" s="1"/>
  <c r="E565" i="9"/>
  <c r="E540" i="9"/>
  <c r="E526" i="9"/>
  <c r="E514" i="9"/>
  <c r="E497" i="9"/>
  <c r="E479" i="9"/>
  <c r="E462" i="9"/>
  <c r="E445" i="9"/>
  <c r="E411" i="9"/>
  <c r="E396" i="9"/>
  <c r="E378" i="9"/>
  <c r="E362" i="9"/>
  <c r="E326" i="9"/>
  <c r="E294" i="9"/>
  <c r="E266" i="9"/>
  <c r="E228" i="9"/>
  <c r="E193" i="9"/>
  <c r="E134" i="9"/>
  <c r="E77" i="9"/>
  <c r="G594" i="9" a="1"/>
  <c r="G594" i="9" s="1"/>
  <c r="G566" i="9" a="1"/>
  <c r="G566" i="9" s="1"/>
  <c r="E544" i="9"/>
  <c r="E482" i="9"/>
  <c r="G414" i="9" a="1"/>
  <c r="G414" i="9" s="1"/>
  <c r="E382" i="9"/>
  <c r="E364" i="9"/>
  <c r="G266" i="9" a="1"/>
  <c r="G266" i="9" s="1"/>
  <c r="G238" i="9" a="1"/>
  <c r="G238" i="9" s="1"/>
  <c r="G202" i="9" a="1"/>
  <c r="G202" i="9" s="1"/>
  <c r="E82" i="9"/>
  <c r="E592" i="9"/>
  <c r="E582" i="9"/>
  <c r="E573" i="9"/>
  <c r="E564" i="9"/>
  <c r="E554" i="9"/>
  <c r="G539" i="9" a="1"/>
  <c r="G539" i="9" s="1"/>
  <c r="E525" i="9"/>
  <c r="E496" i="9"/>
  <c r="E477" i="9"/>
  <c r="G444" i="9" a="1"/>
  <c r="G444" i="9" s="1"/>
  <c r="E425" i="9"/>
  <c r="G409" i="9" a="1"/>
  <c r="G409" i="9" s="1"/>
  <c r="E392" i="9"/>
  <c r="G377" i="9" a="1"/>
  <c r="G377" i="9" s="1"/>
  <c r="E293" i="9"/>
  <c r="E257" i="9"/>
  <c r="G227" i="9" a="1"/>
  <c r="G227" i="9" s="1"/>
  <c r="E190" i="9"/>
  <c r="E132" i="9"/>
  <c r="G70" i="9" a="1"/>
  <c r="G70" i="9" s="1"/>
  <c r="E553" i="9"/>
  <c r="G542" i="9" a="1"/>
  <c r="G542" i="9" s="1"/>
  <c r="E532" i="9"/>
  <c r="E522" i="9"/>
  <c r="E511" i="9"/>
  <c r="G499" i="9" a="1"/>
  <c r="G499" i="9" s="1"/>
  <c r="E485" i="9"/>
  <c r="G471" i="9" a="1"/>
  <c r="G471" i="9" s="1"/>
  <c r="E459" i="9"/>
  <c r="E448" i="9"/>
  <c r="E432" i="9"/>
  <c r="E421" i="9"/>
  <c r="G396" i="9" a="1"/>
  <c r="G396" i="9" s="1"/>
  <c r="E384" i="9"/>
  <c r="E372" i="9"/>
  <c r="E358" i="9"/>
  <c r="E305" i="9"/>
  <c r="E283" i="9"/>
  <c r="G256" i="9" a="1"/>
  <c r="G256" i="9" s="1"/>
  <c r="G231" i="9" a="1"/>
  <c r="G231" i="9" s="1"/>
  <c r="E211" i="9"/>
  <c r="G169" i="9" a="1"/>
  <c r="G169" i="9" s="1"/>
  <c r="G27" i="9" a="1"/>
  <c r="G27" i="9" s="1"/>
  <c r="E549" i="9"/>
  <c r="E539" i="9"/>
  <c r="E528" i="9"/>
  <c r="E518" i="9"/>
  <c r="E506" i="9"/>
  <c r="E493" i="9"/>
  <c r="G480" i="9" a="1"/>
  <c r="G480" i="9" s="1"/>
  <c r="G467" i="9" a="1"/>
  <c r="G467" i="9" s="1"/>
  <c r="E455" i="9"/>
  <c r="E442" i="9"/>
  <c r="E428" i="9"/>
  <c r="G416" i="9" a="1"/>
  <c r="G416" i="9" s="1"/>
  <c r="E403" i="9"/>
  <c r="G378" i="9" a="1"/>
  <c r="G378" i="9" s="1"/>
  <c r="G368" i="9" a="1"/>
  <c r="G368" i="9" s="1"/>
  <c r="E344" i="9"/>
  <c r="G320" i="9" a="1"/>
  <c r="G320" i="9" s="1"/>
  <c r="E296" i="9"/>
  <c r="G270" i="9" a="1"/>
  <c r="G270" i="9" s="1"/>
  <c r="E247" i="9"/>
  <c r="G224" i="9" a="1"/>
  <c r="G224" i="9" s="1"/>
  <c r="G198" i="9" a="1"/>
  <c r="G198" i="9" s="1"/>
  <c r="G154" i="9" a="1"/>
  <c r="G154" i="9" s="1"/>
  <c r="E59" i="9"/>
  <c r="E591" i="9"/>
  <c r="E584" i="9"/>
  <c r="E570" i="9"/>
  <c r="E555" i="9"/>
  <c r="E548" i="9"/>
  <c r="E542" i="9"/>
  <c r="G534" i="9" a="1"/>
  <c r="G534" i="9" s="1"/>
  <c r="E527" i="9"/>
  <c r="E520" i="9"/>
  <c r="E513" i="9"/>
  <c r="E504" i="9"/>
  <c r="E492" i="9"/>
  <c r="E483" i="9"/>
  <c r="G475" i="9" a="1"/>
  <c r="G475" i="9" s="1"/>
  <c r="E464" i="9"/>
  <c r="G455" i="9" a="1"/>
  <c r="G455" i="9" s="1"/>
  <c r="G447" i="9" a="1"/>
  <c r="G447" i="9" s="1"/>
  <c r="E438" i="9"/>
  <c r="G429" i="9" a="1"/>
  <c r="G429" i="9" s="1"/>
  <c r="E410" i="9"/>
  <c r="G402" i="9" a="1"/>
  <c r="G402" i="9" s="1"/>
  <c r="E395" i="9"/>
  <c r="E385" i="9"/>
  <c r="E377" i="9"/>
  <c r="E368" i="9"/>
  <c r="G347" i="9" a="1"/>
  <c r="G347" i="9" s="1"/>
  <c r="E332" i="9"/>
  <c r="E280" i="9"/>
  <c r="G225" i="9" a="1"/>
  <c r="G225" i="9" s="1"/>
  <c r="G188" i="9" a="1"/>
  <c r="G188" i="9" s="1"/>
  <c r="E155" i="9"/>
  <c r="G97" i="9" a="1"/>
  <c r="G97" i="9" s="1"/>
  <c r="E71" i="9"/>
  <c r="G36" i="9" a="1"/>
  <c r="G36" i="9" s="1"/>
  <c r="E177" i="9"/>
  <c r="E91" i="9"/>
  <c r="G58" i="9" a="1"/>
  <c r="G58" i="9" s="1"/>
  <c r="E116" i="9"/>
  <c r="E594" i="9"/>
  <c r="G587" i="9" a="1"/>
  <c r="G587" i="9" s="1"/>
  <c r="E574" i="9"/>
  <c r="G567" i="9" a="1"/>
  <c r="G567" i="9" s="1"/>
  <c r="E559" i="9"/>
  <c r="E552" i="9"/>
  <c r="G545" i="9" a="1"/>
  <c r="G545" i="9" s="1"/>
  <c r="G538" i="9" a="1"/>
  <c r="G538" i="9" s="1"/>
  <c r="E530" i="9"/>
  <c r="G523" i="9" a="1"/>
  <c r="G523" i="9" s="1"/>
  <c r="E507" i="9"/>
  <c r="E498" i="9"/>
  <c r="E489" i="9"/>
  <c r="G477" i="9" a="1"/>
  <c r="G477" i="9" s="1"/>
  <c r="E470" i="9"/>
  <c r="G460" i="9" a="1"/>
  <c r="G460" i="9" s="1"/>
  <c r="E451" i="9"/>
  <c r="G443" i="9" a="1"/>
  <c r="G443" i="9" s="1"/>
  <c r="G435" i="9" a="1"/>
  <c r="G435" i="9" s="1"/>
  <c r="E398" i="9"/>
  <c r="E390" i="9"/>
  <c r="G370" i="9" a="1"/>
  <c r="G370" i="9" s="1"/>
  <c r="G361" i="9" a="1"/>
  <c r="G361" i="9" s="1"/>
  <c r="E339" i="9"/>
  <c r="E321" i="9"/>
  <c r="G305" i="9" a="1"/>
  <c r="G305" i="9" s="1"/>
  <c r="E270" i="9"/>
  <c r="E253" i="9"/>
  <c r="E217" i="9"/>
  <c r="E199" i="9"/>
  <c r="G170" i="9" a="1"/>
  <c r="G170" i="9" s="1"/>
  <c r="G138" i="9" a="1"/>
  <c r="G138" i="9" s="1"/>
  <c r="E114" i="9"/>
  <c r="G83" i="9" a="1"/>
  <c r="G83" i="9" s="1"/>
  <c r="G57" i="9" a="1"/>
  <c r="G57" i="9" s="1"/>
  <c r="E509" i="9"/>
  <c r="G502" i="9" a="1"/>
  <c r="G502" i="9" s="1"/>
  <c r="E495" i="9"/>
  <c r="E488" i="9"/>
  <c r="E480" i="9"/>
  <c r="E467" i="9"/>
  <c r="E460" i="9"/>
  <c r="G452" i="9" a="1"/>
  <c r="G452" i="9" s="1"/>
  <c r="E446" i="9"/>
  <c r="E441" i="9"/>
  <c r="E434" i="9"/>
  <c r="E420" i="9"/>
  <c r="E413" i="9"/>
  <c r="E406" i="9"/>
  <c r="E400" i="9"/>
  <c r="G393" i="9" a="1"/>
  <c r="G393" i="9" s="1"/>
  <c r="G387" i="9" a="1"/>
  <c r="G387" i="9" s="1"/>
  <c r="E381" i="9"/>
  <c r="G373" i="9" a="1"/>
  <c r="G373" i="9" s="1"/>
  <c r="E356" i="9"/>
  <c r="G338" i="9" a="1"/>
  <c r="G338" i="9" s="1"/>
  <c r="G314" i="9" a="1"/>
  <c r="G314" i="9" s="1"/>
  <c r="E303" i="9"/>
  <c r="G290" i="9" a="1"/>
  <c r="G290" i="9" s="1"/>
  <c r="E263" i="9"/>
  <c r="G249" i="9" a="1"/>
  <c r="G249" i="9" s="1"/>
  <c r="G221" i="9" a="1"/>
  <c r="G221" i="9" s="1"/>
  <c r="G209" i="9" a="1"/>
  <c r="G209" i="9" s="1"/>
  <c r="G196" i="9" a="1"/>
  <c r="G196" i="9" s="1"/>
  <c r="E175" i="9"/>
  <c r="G127" i="9" a="1"/>
  <c r="G127" i="9" s="1"/>
  <c r="E109" i="9"/>
  <c r="G88" i="9" a="1"/>
  <c r="G88" i="9" s="1"/>
  <c r="E66" i="9"/>
  <c r="E39" i="9"/>
  <c r="G14" i="9" a="1"/>
  <c r="G14" i="9" s="1"/>
  <c r="G514" i="9" a="1"/>
  <c r="G514" i="9" s="1"/>
  <c r="E501" i="9"/>
  <c r="G486" i="9" a="1"/>
  <c r="G486" i="9" s="1"/>
  <c r="G479" i="9" a="1"/>
  <c r="G479" i="9" s="1"/>
  <c r="G473" i="9" a="1"/>
  <c r="G473" i="9" s="1"/>
  <c r="G459" i="9" a="1"/>
  <c r="G459" i="9" s="1"/>
  <c r="E452" i="9"/>
  <c r="E440" i="9"/>
  <c r="E433" i="9"/>
  <c r="E426" i="9"/>
  <c r="G419" i="9" a="1"/>
  <c r="G419" i="9" s="1"/>
  <c r="G412" i="9" a="1"/>
  <c r="G412" i="9" s="1"/>
  <c r="G399" i="9" a="1"/>
  <c r="G399" i="9" s="1"/>
  <c r="E393" i="9"/>
  <c r="E387" i="9"/>
  <c r="E380" i="9"/>
  <c r="E373" i="9"/>
  <c r="E366" i="9"/>
  <c r="G352" i="9" a="1"/>
  <c r="G352" i="9" s="1"/>
  <c r="E338" i="9"/>
  <c r="G326" i="9" a="1"/>
  <c r="G326" i="9" s="1"/>
  <c r="G302" i="9" a="1"/>
  <c r="G302" i="9" s="1"/>
  <c r="G289" i="9" a="1"/>
  <c r="G289" i="9" s="1"/>
  <c r="G274" i="9" a="1"/>
  <c r="G274" i="9" s="1"/>
  <c r="E261" i="9"/>
  <c r="E249" i="9"/>
  <c r="E235" i="9"/>
  <c r="E221" i="9"/>
  <c r="E207" i="9"/>
  <c r="E171" i="9"/>
  <c r="G150" i="9" a="1"/>
  <c r="G150" i="9" s="1"/>
  <c r="E127" i="9"/>
  <c r="E103" i="9"/>
  <c r="E87" i="9"/>
  <c r="E65" i="9"/>
  <c r="E37" i="9"/>
  <c r="E13" i="9"/>
  <c r="G595" i="9" a="1"/>
  <c r="G595" i="9" s="1"/>
  <c r="G590" i="9" a="1"/>
  <c r="G590" i="9" s="1"/>
  <c r="E585" i="9"/>
  <c r="E580" i="9"/>
  <c r="E576" i="9"/>
  <c r="E566" i="9"/>
  <c r="G561" i="9" a="1"/>
  <c r="G561" i="9" s="1"/>
  <c r="G551" i="9" a="1"/>
  <c r="G551" i="9" s="1"/>
  <c r="E546" i="9"/>
  <c r="E541" i="9"/>
  <c r="E536" i="9"/>
  <c r="G531" i="9" a="1"/>
  <c r="G531" i="9" s="1"/>
  <c r="E521" i="9"/>
  <c r="E516" i="9"/>
  <c r="E512" i="9"/>
  <c r="G506" i="9" a="1"/>
  <c r="G506" i="9" s="1"/>
  <c r="E502" i="9"/>
  <c r="G497" i="9" a="1"/>
  <c r="G497" i="9" s="1"/>
  <c r="G481" i="9" a="1"/>
  <c r="G481" i="9" s="1"/>
  <c r="E472" i="9"/>
  <c r="E466" i="9"/>
  <c r="E461" i="9"/>
  <c r="G456" i="9" a="1"/>
  <c r="G456" i="9" s="1"/>
  <c r="E447" i="9"/>
  <c r="G437" i="9" a="1"/>
  <c r="G437" i="9" s="1"/>
  <c r="G432" i="9" a="1"/>
  <c r="G432" i="9" s="1"/>
  <c r="E427" i="9"/>
  <c r="G422" i="9" a="1"/>
  <c r="G422" i="9" s="1"/>
  <c r="E417" i="9"/>
  <c r="G411" i="9" a="1"/>
  <c r="G411" i="9" s="1"/>
  <c r="G406" i="9" a="1"/>
  <c r="G406" i="9" s="1"/>
  <c r="E402" i="9"/>
  <c r="G392" i="9" a="1"/>
  <c r="G392" i="9" s="1"/>
  <c r="E388" i="9"/>
  <c r="G379" i="9" a="1"/>
  <c r="G379" i="9" s="1"/>
  <c r="E374" i="9"/>
  <c r="G369" i="9" a="1"/>
  <c r="G369" i="9" s="1"/>
  <c r="E365" i="9"/>
  <c r="E353" i="9"/>
  <c r="E341" i="9"/>
  <c r="G332" i="9" a="1"/>
  <c r="G332" i="9" s="1"/>
  <c r="G324" i="9" a="1"/>
  <c r="G324" i="9" s="1"/>
  <c r="E315" i="9"/>
  <c r="G306" i="9" a="1"/>
  <c r="G306" i="9" s="1"/>
  <c r="E299" i="9"/>
  <c r="E290" i="9"/>
  <c r="E260" i="9"/>
  <c r="E250" i="9"/>
  <c r="E242" i="9"/>
  <c r="G228" i="9" a="1"/>
  <c r="G228" i="9" s="1"/>
  <c r="G220" i="9" a="1"/>
  <c r="G220" i="9" s="1"/>
  <c r="E210" i="9"/>
  <c r="G199" i="9" a="1"/>
  <c r="G199" i="9" s="1"/>
  <c r="G192" i="9" a="1"/>
  <c r="G192" i="9" s="1"/>
  <c r="G176" i="9" a="1"/>
  <c r="G176" i="9" s="1"/>
  <c r="G159" i="9" a="1"/>
  <c r="G159" i="9" s="1"/>
  <c r="E139" i="9"/>
  <c r="E126" i="9"/>
  <c r="G109" i="9" a="1"/>
  <c r="G109" i="9" s="1"/>
  <c r="G93" i="9" a="1"/>
  <c r="G93" i="9" s="1"/>
  <c r="E79" i="9"/>
  <c r="E593" i="9"/>
  <c r="E587" i="9"/>
  <c r="G582" i="9" a="1"/>
  <c r="G582" i="9" s="1"/>
  <c r="E572" i="9"/>
  <c r="G562" i="9" a="1"/>
  <c r="G562" i="9" s="1"/>
  <c r="E558" i="9"/>
  <c r="E543" i="9"/>
  <c r="E538" i="9"/>
  <c r="E533" i="9"/>
  <c r="E529" i="9"/>
  <c r="E523" i="9"/>
  <c r="G518" i="9" a="1"/>
  <c r="G518" i="9" s="1"/>
  <c r="E508" i="9"/>
  <c r="G498" i="9" a="1"/>
  <c r="G498" i="9" s="1"/>
  <c r="E494" i="9"/>
  <c r="G488" i="9" a="1"/>
  <c r="G488" i="9" s="1"/>
  <c r="G483" i="9" a="1"/>
  <c r="G483" i="9" s="1"/>
  <c r="E478" i="9"/>
  <c r="E474" i="9"/>
  <c r="E463" i="9"/>
  <c r="E458" i="9"/>
  <c r="E449" i="9"/>
  <c r="E444" i="9"/>
  <c r="E439" i="9"/>
  <c r="G434" i="9" a="1"/>
  <c r="G434" i="9" s="1"/>
  <c r="E429" i="9"/>
  <c r="E419" i="9"/>
  <c r="E414" i="9"/>
  <c r="E408" i="9"/>
  <c r="E399" i="9"/>
  <c r="G394" i="9" a="1"/>
  <c r="G394" i="9" s="1"/>
  <c r="G385" i="9" a="1"/>
  <c r="G385" i="9" s="1"/>
  <c r="G380" i="9" a="1"/>
  <c r="G380" i="9" s="1"/>
  <c r="E376" i="9"/>
  <c r="E367" i="9"/>
  <c r="G358" i="9" a="1"/>
  <c r="G358" i="9" s="1"/>
  <c r="G344" i="9" a="1"/>
  <c r="G344" i="9" s="1"/>
  <c r="G335" i="9" a="1"/>
  <c r="G335" i="9" s="1"/>
  <c r="E327" i="9"/>
  <c r="G318" i="9" a="1"/>
  <c r="G318" i="9" s="1"/>
  <c r="E309" i="9"/>
  <c r="E302" i="9"/>
  <c r="G293" i="9" a="1"/>
  <c r="G293" i="9" s="1"/>
  <c r="G283" i="9" a="1"/>
  <c r="G283" i="9" s="1"/>
  <c r="E273" i="9"/>
  <c r="G263" i="9" a="1"/>
  <c r="G263" i="9" s="1"/>
  <c r="E254" i="9"/>
  <c r="G245" i="9" a="1"/>
  <c r="G245" i="9" s="1"/>
  <c r="G232" i="9" a="1"/>
  <c r="G232" i="9" s="1"/>
  <c r="E224" i="9"/>
  <c r="G203" i="9" a="1"/>
  <c r="G203" i="9" s="1"/>
  <c r="G195" i="9" a="1"/>
  <c r="G195" i="9" s="1"/>
  <c r="G182" i="9" a="1"/>
  <c r="G182" i="9" s="1"/>
  <c r="E166" i="9"/>
  <c r="E150" i="9"/>
  <c r="E98" i="9"/>
  <c r="E70" i="9"/>
  <c r="E52" i="9"/>
  <c r="G28" i="9" a="1"/>
  <c r="G28" i="9" s="1"/>
  <c r="G9" i="9" a="1"/>
  <c r="G9" i="9" s="1"/>
  <c r="G588" i="9" a="1"/>
  <c r="G588" i="9" s="1"/>
  <c r="E583" i="9"/>
  <c r="G580" i="9" a="1"/>
  <c r="G580" i="9" s="1"/>
  <c r="G575" i="9" a="1"/>
  <c r="G575" i="9" s="1"/>
  <c r="G572" i="9" a="1"/>
  <c r="G572" i="9" s="1"/>
  <c r="G569" i="9" a="1"/>
  <c r="G569" i="9" s="1"/>
  <c r="E567" i="9"/>
  <c r="G564" i="9" a="1"/>
  <c r="G564" i="9" s="1"/>
  <c r="G559" i="9" a="1"/>
  <c r="G559" i="9" s="1"/>
  <c r="G553" i="9" a="1"/>
  <c r="G553" i="9" s="1"/>
  <c r="E551" i="9"/>
  <c r="G548" i="9" a="1"/>
  <c r="G548" i="9" s="1"/>
  <c r="G543" i="9" a="1"/>
  <c r="G543" i="9" s="1"/>
  <c r="E535" i="9"/>
  <c r="G527" i="9" a="1"/>
  <c r="G527" i="9" s="1"/>
  <c r="G524" i="9" a="1"/>
  <c r="G524" i="9" s="1"/>
  <c r="G521" i="9" a="1"/>
  <c r="G521" i="9" s="1"/>
  <c r="E519" i="9"/>
  <c r="G516" i="9" a="1"/>
  <c r="G516" i="9" s="1"/>
  <c r="G511" i="9" a="1"/>
  <c r="G511" i="9" s="1"/>
  <c r="G508" i="9" a="1"/>
  <c r="G508" i="9" s="1"/>
  <c r="G505" i="9" a="1"/>
  <c r="G505" i="9" s="1"/>
  <c r="E503" i="9"/>
  <c r="G500" i="9" a="1"/>
  <c r="G500" i="9" s="1"/>
  <c r="G492" i="9" a="1"/>
  <c r="G492" i="9" s="1"/>
  <c r="G489" i="9" a="1"/>
  <c r="G489" i="9" s="1"/>
  <c r="E487" i="9"/>
  <c r="E484" i="9"/>
  <c r="E481" i="9"/>
  <c r="E475" i="9"/>
  <c r="E471" i="9"/>
  <c r="E468" i="9"/>
  <c r="E465" i="9"/>
  <c r="G454" i="9" a="1"/>
  <c r="G454" i="9" s="1"/>
  <c r="G448" i="9" a="1"/>
  <c r="G448" i="9" s="1"/>
  <c r="E443" i="9"/>
  <c r="G439" i="9" a="1"/>
  <c r="G439" i="9" s="1"/>
  <c r="G436" i="9" a="1"/>
  <c r="G436" i="9" s="1"/>
  <c r="G433" i="9" a="1"/>
  <c r="G433" i="9" s="1"/>
  <c r="E430" i="9"/>
  <c r="E424" i="9"/>
  <c r="G421" i="9" a="1"/>
  <c r="G421" i="9" s="1"/>
  <c r="G418" i="9" a="1"/>
  <c r="G418" i="9" s="1"/>
  <c r="E415" i="9"/>
  <c r="E412" i="9"/>
  <c r="E409" i="9"/>
  <c r="G403" i="9" a="1"/>
  <c r="G403" i="9" s="1"/>
  <c r="E397" i="9"/>
  <c r="E394" i="9"/>
  <c r="G390" i="9" a="1"/>
  <c r="G390" i="9" s="1"/>
  <c r="G384" i="9" a="1"/>
  <c r="G384" i="9" s="1"/>
  <c r="E379" i="9"/>
  <c r="G372" i="9" a="1"/>
  <c r="G372" i="9" s="1"/>
  <c r="G366" i="9" a="1"/>
  <c r="G366" i="9" s="1"/>
  <c r="G362" i="9" a="1"/>
  <c r="G362" i="9" s="1"/>
  <c r="E345" i="9"/>
  <c r="G339" i="9" a="1"/>
  <c r="G339" i="9" s="1"/>
  <c r="G327" i="9" a="1"/>
  <c r="G327" i="9" s="1"/>
  <c r="G315" i="9" a="1"/>
  <c r="G315" i="9" s="1"/>
  <c r="G309" i="9" a="1"/>
  <c r="G309" i="9" s="1"/>
  <c r="G303" i="9" a="1"/>
  <c r="G303" i="9" s="1"/>
  <c r="E297" i="9"/>
  <c r="E271" i="9"/>
  <c r="E264" i="9"/>
  <c r="G250" i="9" a="1"/>
  <c r="G250" i="9" s="1"/>
  <c r="E243" i="9"/>
  <c r="E236" i="9"/>
  <c r="E229" i="9"/>
  <c r="E222" i="9"/>
  <c r="G214" i="9" a="1"/>
  <c r="G214" i="9" s="1"/>
  <c r="G207" i="9" a="1"/>
  <c r="G207" i="9" s="1"/>
  <c r="E200" i="9"/>
  <c r="G184" i="9" a="1"/>
  <c r="G184" i="9" s="1"/>
  <c r="G172" i="9" a="1"/>
  <c r="G172" i="9" s="1"/>
  <c r="E161" i="9"/>
  <c r="E141" i="9"/>
  <c r="G128" i="9" a="1"/>
  <c r="G128" i="9" s="1"/>
  <c r="G116" i="9" a="1"/>
  <c r="G116" i="9" s="1"/>
  <c r="E104" i="9"/>
  <c r="E94" i="9"/>
  <c r="E84" i="9"/>
  <c r="E72" i="9"/>
  <c r="E61" i="9"/>
  <c r="G46" i="9" a="1"/>
  <c r="G46" i="9" s="1"/>
  <c r="G30" i="9" a="1"/>
  <c r="G30" i="9" s="1"/>
  <c r="E15" i="9"/>
  <c r="E595" i="9"/>
  <c r="G592" i="9" a="1"/>
  <c r="G592" i="9" s="1"/>
  <c r="G589" i="9" a="1"/>
  <c r="G589" i="9" s="1"/>
  <c r="G581" i="9" a="1"/>
  <c r="G581" i="9" s="1"/>
  <c r="E579" i="9"/>
  <c r="G576" i="9" a="1"/>
  <c r="G576" i="9" s="1"/>
  <c r="G565" i="9" a="1"/>
  <c r="G565" i="9" s="1"/>
  <c r="E563" i="9"/>
  <c r="G560" i="9" a="1"/>
  <c r="G560" i="9" s="1"/>
  <c r="G557" i="9" a="1"/>
  <c r="G557" i="9" s="1"/>
  <c r="G549" i="9" a="1"/>
  <c r="G549" i="9" s="1"/>
  <c r="E547" i="9"/>
  <c r="G544" i="9" a="1"/>
  <c r="G544" i="9" s="1"/>
  <c r="G541" i="9" a="1"/>
  <c r="G541" i="9" s="1"/>
  <c r="E531" i="9"/>
  <c r="G528" i="9" a="1"/>
  <c r="G528" i="9" s="1"/>
  <c r="G525" i="9" a="1"/>
  <c r="G525" i="9" s="1"/>
  <c r="G517" i="9" a="1"/>
  <c r="G517" i="9" s="1"/>
  <c r="E515" i="9"/>
  <c r="G512" i="9" a="1"/>
  <c r="G512" i="9" s="1"/>
  <c r="G501" i="9" a="1"/>
  <c r="G501" i="9" s="1"/>
  <c r="E499" i="9"/>
  <c r="G496" i="9" a="1"/>
  <c r="G496" i="9" s="1"/>
  <c r="G493" i="9" a="1"/>
  <c r="G493" i="9" s="1"/>
  <c r="G485" i="9" a="1"/>
  <c r="G485" i="9" s="1"/>
  <c r="G482" i="9" a="1"/>
  <c r="G482" i="9" s="1"/>
  <c r="G472" i="9" a="1"/>
  <c r="G472" i="9" s="1"/>
  <c r="G466" i="9" a="1"/>
  <c r="G466" i="9" s="1"/>
  <c r="G462" i="9" a="1"/>
  <c r="G462" i="9" s="1"/>
  <c r="E456" i="9"/>
  <c r="E453" i="9"/>
  <c r="E450" i="9"/>
  <c r="G446" i="9" a="1"/>
  <c r="G446" i="9" s="1"/>
  <c r="E435" i="9"/>
  <c r="G431" i="9" a="1"/>
  <c r="G431" i="9" s="1"/>
  <c r="G428" i="9" a="1"/>
  <c r="G428" i="9" s="1"/>
  <c r="G425" i="9" a="1"/>
  <c r="G425" i="9" s="1"/>
  <c r="E422" i="9"/>
  <c r="E416" i="9"/>
  <c r="G413" i="9" a="1"/>
  <c r="G413" i="9" s="1"/>
  <c r="G410" i="9" a="1"/>
  <c r="G410" i="9" s="1"/>
  <c r="E407" i="9"/>
  <c r="E404" i="9"/>
  <c r="E401" i="9"/>
  <c r="G395" i="9" a="1"/>
  <c r="G395" i="9" s="1"/>
  <c r="E389" i="9"/>
  <c r="E386" i="9"/>
  <c r="G376" i="9" a="1"/>
  <c r="G376" i="9" s="1"/>
  <c r="E371" i="9"/>
  <c r="G364" i="9" a="1"/>
  <c r="G364" i="9" s="1"/>
  <c r="E359" i="9"/>
  <c r="G353" i="9" a="1"/>
  <c r="G353" i="9" s="1"/>
  <c r="E330" i="9"/>
  <c r="E324" i="9"/>
  <c r="E318" i="9"/>
  <c r="E312" i="9"/>
  <c r="E306" i="9"/>
  <c r="E287" i="9"/>
  <c r="E274" i="9"/>
  <c r="G260" i="9" a="1"/>
  <c r="G260" i="9" s="1"/>
  <c r="G246" i="9" a="1"/>
  <c r="G246" i="9" s="1"/>
  <c r="G239" i="9" a="1"/>
  <c r="G239" i="9" s="1"/>
  <c r="E232" i="9"/>
  <c r="E225" i="9"/>
  <c r="E218" i="9"/>
  <c r="G210" i="9" a="1"/>
  <c r="G210" i="9" s="1"/>
  <c r="E203" i="9"/>
  <c r="E196" i="9"/>
  <c r="E189" i="9"/>
  <c r="G132" i="9" a="1"/>
  <c r="G132" i="9" s="1"/>
  <c r="G121" i="9" a="1"/>
  <c r="G121" i="9" s="1"/>
  <c r="E110" i="9"/>
  <c r="E88" i="9"/>
  <c r="E78" i="9"/>
  <c r="G52" i="9" a="1"/>
  <c r="G52" i="9" s="1"/>
  <c r="G38" i="9" a="1"/>
  <c r="G38" i="9" s="1"/>
  <c r="E21" i="9"/>
  <c r="E2" i="9"/>
  <c r="G5" i="9" a="1"/>
  <c r="G5" i="9" s="1"/>
  <c r="G11" i="9" a="1"/>
  <c r="G11" i="9" s="1"/>
  <c r="E23" i="9"/>
  <c r="E33" i="9"/>
  <c r="G41" i="9" a="1"/>
  <c r="G41" i="9" s="1"/>
  <c r="E47" i="9"/>
  <c r="E55" i="9"/>
  <c r="E62" i="9"/>
  <c r="E68" i="9"/>
  <c r="G80" i="9" a="1"/>
  <c r="G80" i="9" s="1"/>
  <c r="G95" i="9" a="1"/>
  <c r="G95" i="9" s="1"/>
  <c r="G105" i="9" a="1"/>
  <c r="G105" i="9" s="1"/>
  <c r="G112" i="9" a="1"/>
  <c r="G112" i="9" s="1"/>
  <c r="G118" i="9" a="1"/>
  <c r="G118" i="9" s="1"/>
  <c r="E123" i="9"/>
  <c r="E135" i="9"/>
  <c r="E142" i="9"/>
  <c r="G147" i="9" a="1"/>
  <c r="G147" i="9" s="1"/>
  <c r="E152" i="9"/>
  <c r="G157" i="9" a="1"/>
  <c r="G157" i="9" s="1"/>
  <c r="E167" i="9"/>
  <c r="E179" i="9"/>
  <c r="G194" i="9" a="1"/>
  <c r="G194" i="9" s="1"/>
  <c r="E197" i="9"/>
  <c r="E201" i="9"/>
  <c r="G204" i="9" a="1"/>
  <c r="G204" i="9" s="1"/>
  <c r="G208" i="9" a="1"/>
  <c r="G208" i="9" s="1"/>
  <c r="E212" i="9"/>
  <c r="G215" i="9" a="1"/>
  <c r="G215" i="9" s="1"/>
  <c r="E219" i="9"/>
  <c r="E223" i="9"/>
  <c r="E230" i="9"/>
  <c r="G233" i="9" a="1"/>
  <c r="G233" i="9" s="1"/>
  <c r="E237" i="9"/>
  <c r="G240" i="9" a="1"/>
  <c r="G240" i="9" s="1"/>
  <c r="E244" i="9"/>
  <c r="E251" i="9"/>
  <c r="E255" i="9"/>
  <c r="G258" i="9" a="1"/>
  <c r="G258" i="9" s="1"/>
  <c r="E268" i="9"/>
  <c r="E275" i="9"/>
  <c r="G278" i="9" a="1"/>
  <c r="G278" i="9" s="1"/>
  <c r="G281" i="9" a="1"/>
  <c r="G281" i="9" s="1"/>
  <c r="G284" i="9" a="1"/>
  <c r="G284" i="9" s="1"/>
  <c r="E288" i="9"/>
  <c r="G291" i="9" a="1"/>
  <c r="G291" i="9" s="1"/>
  <c r="E295" i="9"/>
  <c r="E298" i="9"/>
  <c r="E301" i="9"/>
  <c r="E304" i="9"/>
  <c r="E307" i="9"/>
  <c r="E310" i="9"/>
  <c r="E313" i="9"/>
  <c r="E316" i="9"/>
  <c r="G322" i="9" a="1"/>
  <c r="G322" i="9" s="1"/>
  <c r="E328" i="9"/>
  <c r="G331" i="9" a="1"/>
  <c r="G331" i="9" s="1"/>
  <c r="E337" i="9"/>
  <c r="G342" i="9" a="1"/>
  <c r="G342" i="9" s="1"/>
  <c r="G351" i="9" a="1"/>
  <c r="G351" i="9" s="1"/>
  <c r="G354" i="9" a="1"/>
  <c r="G354" i="9" s="1"/>
  <c r="G357" i="9" a="1"/>
  <c r="G357" i="9" s="1"/>
  <c r="E360" i="9"/>
  <c r="E7" i="9"/>
  <c r="G12" i="9" a="1"/>
  <c r="G12" i="9" s="1"/>
  <c r="E25" i="9"/>
  <c r="G33" i="9" a="1"/>
  <c r="G33" i="9" s="1"/>
  <c r="E49" i="9"/>
  <c r="E56" i="9"/>
  <c r="E63" i="9"/>
  <c r="G68" i="9" a="1"/>
  <c r="G68" i="9" s="1"/>
  <c r="G74" i="9" a="1"/>
  <c r="G74" i="9" s="1"/>
  <c r="E81" i="9"/>
  <c r="E86" i="9"/>
  <c r="E100" i="9"/>
  <c r="G106" i="9" a="1"/>
  <c r="G106" i="9" s="1"/>
  <c r="E113" i="9"/>
  <c r="E125" i="9"/>
  <c r="E136" i="9"/>
  <c r="E143" i="9"/>
  <c r="E148" i="9"/>
  <c r="E158" i="9"/>
  <c r="E162" i="9"/>
  <c r="E168" i="9"/>
  <c r="E173" i="9"/>
  <c r="G180" i="9" a="1"/>
  <c r="G180" i="9" s="1"/>
  <c r="E187" i="9"/>
  <c r="E191" i="9"/>
  <c r="E205" i="9"/>
  <c r="E216" i="9"/>
  <c r="G219" i="9" a="1"/>
  <c r="G219" i="9" s="1"/>
  <c r="G223" i="9" a="1"/>
  <c r="G223" i="9" s="1"/>
  <c r="E234" i="9"/>
  <c r="G237" i="9" a="1"/>
  <c r="G237" i="9" s="1"/>
  <c r="E241" i="9"/>
  <c r="G244" i="9" a="1"/>
  <c r="G244" i="9" s="1"/>
  <c r="E248" i="9"/>
  <c r="G251" i="9" a="1"/>
  <c r="G251" i="9" s="1"/>
  <c r="E262" i="9"/>
  <c r="E265" i="9"/>
  <c r="G268" i="9" a="1"/>
  <c r="G268" i="9" s="1"/>
  <c r="E272" i="9"/>
  <c r="G275" i="9" a="1"/>
  <c r="G275" i="9" s="1"/>
  <c r="E279" i="9"/>
  <c r="E282" i="9"/>
  <c r="E285" i="9"/>
  <c r="G288" i="9" a="1"/>
  <c r="G288" i="9" s="1"/>
  <c r="E292" i="9"/>
  <c r="G295" i="9" a="1"/>
  <c r="G295" i="9" s="1"/>
  <c r="G301" i="9" a="1"/>
  <c r="G301" i="9" s="1"/>
  <c r="G304" i="9" a="1"/>
  <c r="G304" i="9" s="1"/>
  <c r="G307" i="9" a="1"/>
  <c r="G307" i="9" s="1"/>
  <c r="G310" i="9" a="1"/>
  <c r="G310" i="9" s="1"/>
  <c r="G313" i="9" a="1"/>
  <c r="G313" i="9" s="1"/>
  <c r="G316" i="9" a="1"/>
  <c r="G316" i="9" s="1"/>
  <c r="E334" i="9"/>
  <c r="G337" i="9" a="1"/>
  <c r="G337" i="9" s="1"/>
  <c r="E340" i="9"/>
  <c r="E343" i="9"/>
  <c r="E346" i="9"/>
  <c r="E349" i="9"/>
  <c r="E355" i="9"/>
  <c r="G360" i="9" a="1"/>
  <c r="G360" i="9" s="1"/>
  <c r="G7" i="9" a="1"/>
  <c r="G7" i="9" s="1"/>
  <c r="G19" i="9" a="1"/>
  <c r="G19" i="9" s="1"/>
  <c r="G25" i="9" a="1"/>
  <c r="G25" i="9" s="1"/>
  <c r="G35" i="9" a="1"/>
  <c r="G35" i="9" s="1"/>
  <c r="G49" i="9" a="1"/>
  <c r="G49" i="9" s="1"/>
  <c r="G63" i="9" a="1"/>
  <c r="G63" i="9" s="1"/>
  <c r="E75" i="9"/>
  <c r="G81" i="9" a="1"/>
  <c r="G81" i="9" s="1"/>
  <c r="G86" i="9" a="1"/>
  <c r="G86" i="9" s="1"/>
  <c r="G96" i="9" a="1"/>
  <c r="G96" i="9" s="1"/>
  <c r="E107" i="9"/>
  <c r="G113" i="9" a="1"/>
  <c r="G113" i="9" s="1"/>
  <c r="E119" i="9"/>
  <c r="E130" i="9"/>
  <c r="G136" i="9" a="1"/>
  <c r="G136" i="9" s="1"/>
  <c r="G143" i="9" a="1"/>
  <c r="G143" i="9" s="1"/>
  <c r="E159" i="9"/>
  <c r="G163" i="9" a="1"/>
  <c r="G163" i="9" s="1"/>
  <c r="G174" i="9" a="1"/>
  <c r="G174" i="9" s="1"/>
  <c r="E188" i="9"/>
  <c r="E192" i="9"/>
  <c r="E195" i="9"/>
  <c r="E198" i="9"/>
  <c r="E202" i="9"/>
  <c r="E209" i="9"/>
  <c r="E220" i="9"/>
  <c r="E227" i="9"/>
  <c r="E231" i="9"/>
  <c r="E238" i="9"/>
  <c r="G241" i="9" a="1"/>
  <c r="G241" i="9" s="1"/>
  <c r="E245" i="9"/>
  <c r="G248" i="9" a="1"/>
  <c r="G248" i="9" s="1"/>
  <c r="E252" i="9"/>
  <c r="E259" i="9"/>
  <c r="G262" i="9" a="1"/>
  <c r="G262" i="9" s="1"/>
  <c r="E269" i="9"/>
  <c r="G272" i="9" a="1"/>
  <c r="G272" i="9" s="1"/>
  <c r="E276" i="9"/>
  <c r="G279" i="9" a="1"/>
  <c r="G279" i="9" s="1"/>
  <c r="G282" i="9" a="1"/>
  <c r="G282" i="9" s="1"/>
  <c r="G285" i="9" a="1"/>
  <c r="G285" i="9" s="1"/>
  <c r="E289" i="9"/>
  <c r="E311" i="9"/>
  <c r="E314" i="9"/>
  <c r="E317" i="9"/>
  <c r="E320" i="9"/>
  <c r="E323" i="9"/>
  <c r="E329" i="9"/>
  <c r="G334" i="9" a="1"/>
  <c r="G334" i="9" s="1"/>
  <c r="G343" i="9" a="1"/>
  <c r="G343" i="9" s="1"/>
  <c r="G349" i="9" a="1"/>
  <c r="G349" i="9" s="1"/>
  <c r="E352" i="9"/>
  <c r="G355" i="9" a="1"/>
  <c r="G355" i="9" s="1"/>
  <c r="E361" i="9"/>
  <c r="E17" i="9"/>
  <c r="E31" i="9"/>
  <c r="E41" i="9"/>
  <c r="G67" i="9" a="1"/>
  <c r="G67" i="9" s="1"/>
  <c r="G72" i="9" a="1"/>
  <c r="G72" i="9" s="1"/>
  <c r="G79" i="9" a="1"/>
  <c r="G79" i="9" s="1"/>
  <c r="G84" i="9" a="1"/>
  <c r="G84" i="9" s="1"/>
  <c r="E95" i="9"/>
  <c r="G99" i="9" a="1"/>
  <c r="G99" i="9" s="1"/>
  <c r="G104" i="9" a="1"/>
  <c r="G104" i="9" s="1"/>
  <c r="G111" i="9" a="1"/>
  <c r="G111" i="9" s="1"/>
  <c r="E118" i="9"/>
  <c r="E129" i="9"/>
  <c r="G134" i="9" a="1"/>
  <c r="G134" i="9" s="1"/>
  <c r="G141" i="9" a="1"/>
  <c r="G141" i="9" s="1"/>
  <c r="E146" i="9"/>
  <c r="E151" i="9"/>
  <c r="E157" i="9"/>
  <c r="G161" i="9" a="1"/>
  <c r="G161" i="9" s="1"/>
  <c r="G166" i="9" a="1"/>
  <c r="G166" i="9" s="1"/>
  <c r="G178" i="9" a="1"/>
  <c r="G178" i="9" s="1"/>
  <c r="E185" i="9"/>
  <c r="G190" i="9" a="1"/>
  <c r="G190" i="9" s="1"/>
  <c r="E194" i="9"/>
  <c r="G200" i="9" a="1"/>
  <c r="G200" i="9" s="1"/>
  <c r="E204" i="9"/>
  <c r="E208" i="9"/>
  <c r="G211" i="9" a="1"/>
  <c r="G211" i="9" s="1"/>
  <c r="E215" i="9"/>
  <c r="G222" i="9" a="1"/>
  <c r="G222" i="9" s="1"/>
  <c r="E226" i="9"/>
  <c r="G229" i="9" a="1"/>
  <c r="G229" i="9" s="1"/>
  <c r="E233" i="9"/>
  <c r="E240" i="9"/>
  <c r="G254" i="9" a="1"/>
  <c r="G254" i="9" s="1"/>
  <c r="E258" i="9"/>
  <c r="G264" i="9" a="1"/>
  <c r="G264" i="9" s="1"/>
  <c r="G267" i="9" a="1"/>
  <c r="G267" i="9" s="1"/>
  <c r="E278" i="9"/>
  <c r="E281" i="9"/>
  <c r="E284" i="9"/>
  <c r="E291" i="9"/>
  <c r="G294" i="9" a="1"/>
  <c r="G294" i="9" s="1"/>
  <c r="G297" i="9" a="1"/>
  <c r="G297" i="9" s="1"/>
  <c r="E319" i="9"/>
  <c r="E322" i="9"/>
  <c r="E325" i="9"/>
  <c r="E331" i="9"/>
  <c r="G336" i="9" a="1"/>
  <c r="G336" i="9" s="1"/>
  <c r="E342" i="9"/>
  <c r="E348" i="9"/>
  <c r="E351" i="9"/>
  <c r="E354" i="9"/>
  <c r="E357" i="9"/>
  <c r="E363" i="9"/>
  <c r="G191" i="9" a="1"/>
  <c r="G191" i="9" s="1"/>
  <c r="G185" i="9" a="1"/>
  <c r="G185" i="9" s="1"/>
  <c r="G183" i="9" a="1"/>
  <c r="G183" i="9" s="1"/>
  <c r="G181" i="9" a="1"/>
  <c r="G181" i="9" s="1"/>
  <c r="G177" i="9" a="1"/>
  <c r="G177" i="9" s="1"/>
  <c r="G175" i="9" a="1"/>
  <c r="G175" i="9" s="1"/>
  <c r="G173" i="9" a="1"/>
  <c r="G173" i="9" s="1"/>
  <c r="E169" i="9"/>
  <c r="G162" i="9" a="1"/>
  <c r="G162" i="9" s="1"/>
  <c r="E160" i="9"/>
  <c r="G155" i="9" a="1"/>
  <c r="G155" i="9" s="1"/>
  <c r="E153" i="9"/>
  <c r="G146" i="9" a="1"/>
  <c r="G146" i="9" s="1"/>
  <c r="E144" i="9"/>
  <c r="G139" i="9" a="1"/>
  <c r="G139" i="9" s="1"/>
  <c r="E137" i="9"/>
  <c r="G130" i="9" a="1"/>
  <c r="G130" i="9" s="1"/>
  <c r="E128" i="9"/>
  <c r="G123" i="9" a="1"/>
  <c r="G123" i="9" s="1"/>
  <c r="E121" i="9"/>
  <c r="G114" i="9" a="1"/>
  <c r="G114" i="9" s="1"/>
  <c r="E112" i="9"/>
  <c r="E105" i="9"/>
  <c r="E96" i="9"/>
  <c r="G91" i="9" a="1"/>
  <c r="G91" i="9" s="1"/>
  <c r="E89" i="9"/>
  <c r="G82" i="9" a="1"/>
  <c r="G82" i="9" s="1"/>
  <c r="E80" i="9"/>
  <c r="G75" i="9" a="1"/>
  <c r="G75" i="9" s="1"/>
  <c r="E73" i="9"/>
  <c r="G66" i="9" a="1"/>
  <c r="G66" i="9" s="1"/>
  <c r="E64" i="9"/>
  <c r="G59" i="9" a="1"/>
  <c r="G59" i="9" s="1"/>
  <c r="E57" i="9"/>
  <c r="G50" i="9" a="1"/>
  <c r="G50" i="9" s="1"/>
  <c r="G39" i="9" a="1"/>
  <c r="G39" i="9" s="1"/>
  <c r="G34" i="9" a="1"/>
  <c r="G34" i="9" s="1"/>
  <c r="G31" i="9" a="1"/>
  <c r="G31" i="9" s="1"/>
  <c r="G23" i="9" a="1"/>
  <c r="G23" i="9" s="1"/>
  <c r="G18" i="9" a="1"/>
  <c r="G18" i="9" s="1"/>
  <c r="G15" i="9" a="1"/>
  <c r="G15" i="9" s="1"/>
  <c r="E5" i="9"/>
  <c r="E186" i="9"/>
  <c r="E184" i="9"/>
  <c r="E182" i="9"/>
  <c r="E180" i="9"/>
  <c r="E178" i="9"/>
  <c r="E176" i="9"/>
  <c r="E174" i="9"/>
  <c r="E172" i="9"/>
  <c r="E170" i="9"/>
  <c r="G165" i="9" a="1"/>
  <c r="G165" i="9" s="1"/>
  <c r="E163" i="9"/>
  <c r="G156" i="9" a="1"/>
  <c r="G156" i="9" s="1"/>
  <c r="E154" i="9"/>
  <c r="E147" i="9"/>
  <c r="G140" i="9" a="1"/>
  <c r="G140" i="9" s="1"/>
  <c r="E138" i="9"/>
  <c r="E131" i="9"/>
  <c r="G124" i="9" a="1"/>
  <c r="G124" i="9" s="1"/>
  <c r="E122" i="9"/>
  <c r="G117" i="9" a="1"/>
  <c r="G117" i="9" s="1"/>
  <c r="E115" i="9"/>
  <c r="E106" i="9"/>
  <c r="G101" i="9" a="1"/>
  <c r="G101" i="9" s="1"/>
  <c r="E99" i="9"/>
  <c r="G92" i="9" a="1"/>
  <c r="G92" i="9" s="1"/>
  <c r="E90" i="9"/>
  <c r="E83" i="9"/>
  <c r="G76" i="9" a="1"/>
  <c r="G76" i="9" s="1"/>
  <c r="E74" i="9"/>
  <c r="E67" i="9"/>
  <c r="G60" i="9" a="1"/>
  <c r="G60" i="9" s="1"/>
  <c r="E58" i="9"/>
  <c r="G53" i="9" a="1"/>
  <c r="G53" i="9" s="1"/>
  <c r="E51" i="9"/>
  <c r="E43" i="9"/>
  <c r="E35" i="9"/>
  <c r="E27" i="9"/>
  <c r="E19" i="9"/>
  <c r="E11" i="9"/>
  <c r="E3" i="9"/>
  <c r="E165" i="9"/>
  <c r="G158" i="9" a="1"/>
  <c r="G158" i="9" s="1"/>
  <c r="E156" i="9"/>
  <c r="G151" i="9" a="1"/>
  <c r="G151" i="9" s="1"/>
  <c r="E149" i="9"/>
  <c r="G142" i="9" a="1"/>
  <c r="G142" i="9" s="1"/>
  <c r="E140" i="9"/>
  <c r="G135" i="9" a="1"/>
  <c r="G135" i="9" s="1"/>
  <c r="E133" i="9"/>
  <c r="E124" i="9"/>
  <c r="G119" i="9" a="1"/>
  <c r="G119" i="9" s="1"/>
  <c r="E117" i="9"/>
  <c r="G110" i="9" a="1"/>
  <c r="G110" i="9" s="1"/>
  <c r="E108" i="9"/>
  <c r="G103" i="9" a="1"/>
  <c r="G103" i="9" s="1"/>
  <c r="E101" i="9"/>
  <c r="E92" i="9"/>
  <c r="G87" i="9" a="1"/>
  <c r="G87" i="9" s="1"/>
  <c r="E85" i="9"/>
  <c r="G78" i="9" a="1"/>
  <c r="G78" i="9" s="1"/>
  <c r="E76" i="9"/>
  <c r="G71" i="9" a="1"/>
  <c r="G71" i="9" s="1"/>
  <c r="E69" i="9"/>
  <c r="G62" i="9" a="1"/>
  <c r="G62" i="9" s="1"/>
  <c r="E60" i="9"/>
  <c r="G55" i="9" a="1"/>
  <c r="G55" i="9" s="1"/>
  <c r="E53" i="9"/>
  <c r="G48" i="9" a="1"/>
  <c r="G48" i="9" s="1"/>
  <c r="G45" i="9" a="1"/>
  <c r="G45" i="9" s="1"/>
  <c r="G37" i="9" a="1"/>
  <c r="G37" i="9" s="1"/>
  <c r="G32" i="9" a="1"/>
  <c r="G32" i="9" s="1"/>
  <c r="G29" i="9" a="1"/>
  <c r="G29" i="9" s="1"/>
  <c r="G24" i="9" a="1"/>
  <c r="G24" i="9" s="1"/>
  <c r="G21" i="9" a="1"/>
  <c r="G21" i="9" s="1"/>
  <c r="G16" i="9" a="1"/>
  <c r="G16" i="9" s="1"/>
  <c r="E50" i="9"/>
  <c r="E48" i="9"/>
  <c r="E46" i="9"/>
  <c r="E44" i="9"/>
  <c r="E42" i="9"/>
  <c r="E40" i="9"/>
  <c r="E38" i="9"/>
  <c r="E36" i="9"/>
  <c r="E34" i="9"/>
  <c r="E32" i="9"/>
  <c r="E30" i="9"/>
  <c r="E28" i="9"/>
  <c r="E26" i="9"/>
  <c r="E24" i="9"/>
  <c r="E22" i="9"/>
  <c r="E20" i="9"/>
  <c r="E18" i="9"/>
  <c r="E16" i="9"/>
  <c r="E14" i="9"/>
  <c r="E12" i="9"/>
  <c r="E10" i="9"/>
  <c r="E8" i="9"/>
  <c r="G6" i="9" a="1"/>
  <c r="G6" i="9" s="1"/>
  <c r="E6" i="9"/>
  <c r="E4" i="9"/>
  <c r="V7" i="6" l="1"/>
  <c r="V6" i="6"/>
  <c r="M240" i="6" s="1"/>
  <c r="V5" i="6"/>
  <c r="E589" i="5"/>
  <c r="E583" i="5"/>
  <c r="E582" i="5"/>
  <c r="E574" i="5"/>
  <c r="E566" i="5"/>
  <c r="E565" i="5"/>
  <c r="E559" i="5"/>
  <c r="E551" i="5"/>
  <c r="E543" i="5"/>
  <c r="E542" i="5"/>
  <c r="E541" i="5"/>
  <c r="E533" i="5"/>
  <c r="E525" i="5"/>
  <c r="E519" i="5"/>
  <c r="E518" i="5"/>
  <c r="E510" i="5"/>
  <c r="E502" i="5"/>
  <c r="E501" i="5"/>
  <c r="E495" i="5"/>
  <c r="E493" i="5"/>
  <c r="E487" i="5"/>
  <c r="E479" i="5"/>
  <c r="E478" i="5"/>
  <c r="E477" i="5"/>
  <c r="E471" i="5"/>
  <c r="E470" i="5"/>
  <c r="E463" i="5"/>
  <c r="E462" i="5"/>
  <c r="E461" i="5"/>
  <c r="E455" i="5"/>
  <c r="E454" i="5"/>
  <c r="E447" i="5"/>
  <c r="E446" i="5"/>
  <c r="E445" i="5"/>
  <c r="E439" i="5"/>
  <c r="E438" i="5"/>
  <c r="E431" i="5"/>
  <c r="E430" i="5"/>
  <c r="E429" i="5"/>
  <c r="E423" i="5"/>
  <c r="E422" i="5"/>
  <c r="E415" i="5"/>
  <c r="E414" i="5"/>
  <c r="E413" i="5"/>
  <c r="E407" i="5"/>
  <c r="E406" i="5"/>
  <c r="E399" i="5"/>
  <c r="E398" i="5"/>
  <c r="E397" i="5"/>
  <c r="E391" i="5"/>
  <c r="E390" i="5"/>
  <c r="E383" i="5"/>
  <c r="E382" i="5"/>
  <c r="E381" i="5"/>
  <c r="E375" i="5"/>
  <c r="E374" i="5"/>
  <c r="E367" i="5"/>
  <c r="E366" i="5"/>
  <c r="E365" i="5"/>
  <c r="E359" i="5"/>
  <c r="E358" i="5"/>
  <c r="E351" i="5"/>
  <c r="E350" i="5"/>
  <c r="E349" i="5"/>
  <c r="E343" i="5"/>
  <c r="E342" i="5"/>
  <c r="E335" i="5"/>
  <c r="E334" i="5"/>
  <c r="E333" i="5"/>
  <c r="E327" i="5"/>
  <c r="E326" i="5"/>
  <c r="E319" i="5"/>
  <c r="E318" i="5"/>
  <c r="E317" i="5"/>
  <c r="E311" i="5"/>
  <c r="E310" i="5"/>
  <c r="E303" i="5"/>
  <c r="E302" i="5"/>
  <c r="E301" i="5"/>
  <c r="E295" i="5"/>
  <c r="E294" i="5"/>
  <c r="E287" i="5"/>
  <c r="E286" i="5"/>
  <c r="E285" i="5"/>
  <c r="E279" i="5"/>
  <c r="E278" i="5"/>
  <c r="E271" i="5"/>
  <c r="E270" i="5"/>
  <c r="E269" i="5"/>
  <c r="E263" i="5"/>
  <c r="E262" i="5"/>
  <c r="E255" i="5"/>
  <c r="E254" i="5"/>
  <c r="E253" i="5"/>
  <c r="E247" i="5"/>
  <c r="E246" i="5"/>
  <c r="E239" i="5"/>
  <c r="E238" i="5"/>
  <c r="E237" i="5"/>
  <c r="E231" i="5"/>
  <c r="E230" i="5"/>
  <c r="E223" i="5"/>
  <c r="E222" i="5"/>
  <c r="E221" i="5"/>
  <c r="E215" i="5"/>
  <c r="E214" i="5"/>
  <c r="E207" i="5"/>
  <c r="E206" i="5"/>
  <c r="E205" i="5"/>
  <c r="E199" i="5"/>
  <c r="E198" i="5"/>
  <c r="E191" i="5"/>
  <c r="E190" i="5"/>
  <c r="E189" i="5"/>
  <c r="E183" i="5"/>
  <c r="E182" i="5"/>
  <c r="E175" i="5"/>
  <c r="E174" i="5"/>
  <c r="E173" i="5"/>
  <c r="E167" i="5"/>
  <c r="E166" i="5"/>
  <c r="E159" i="5"/>
  <c r="E158" i="5"/>
  <c r="E157" i="5"/>
  <c r="E151" i="5"/>
  <c r="E150" i="5"/>
  <c r="E143" i="5"/>
  <c r="E142" i="5"/>
  <c r="E141" i="5"/>
  <c r="E135" i="5"/>
  <c r="E134" i="5"/>
  <c r="E127" i="5"/>
  <c r="E126" i="5"/>
  <c r="E125" i="5"/>
  <c r="E119" i="5"/>
  <c r="E118" i="5"/>
  <c r="E111" i="5"/>
  <c r="E110" i="5"/>
  <c r="E109" i="5"/>
  <c r="E103" i="5"/>
  <c r="E102" i="5"/>
  <c r="E95" i="5"/>
  <c r="E94" i="5"/>
  <c r="E93" i="5"/>
  <c r="E87" i="5"/>
  <c r="E86" i="5"/>
  <c r="E79" i="5"/>
  <c r="E78" i="5"/>
  <c r="E77" i="5"/>
  <c r="E71" i="5"/>
  <c r="E70" i="5"/>
  <c r="E63" i="5"/>
  <c r="E62" i="5"/>
  <c r="E61" i="5"/>
  <c r="E55" i="5"/>
  <c r="E54" i="5"/>
  <c r="E47" i="5"/>
  <c r="E46" i="5"/>
  <c r="E45" i="5"/>
  <c r="E39" i="5"/>
  <c r="E38" i="5"/>
  <c r="E31" i="5"/>
  <c r="E30" i="5"/>
  <c r="E29" i="5"/>
  <c r="E23" i="5"/>
  <c r="E22" i="5"/>
  <c r="E15" i="5"/>
  <c r="E14" i="5"/>
  <c r="E13" i="5"/>
  <c r="E7" i="5"/>
  <c r="E6" i="5"/>
  <c r="L5" i="5"/>
  <c r="L4" i="5"/>
  <c r="E595" i="5" s="1"/>
  <c r="E3" i="5"/>
  <c r="E2" i="5"/>
  <c r="O240" i="6" l="1"/>
  <c r="M17" i="6"/>
  <c r="M318" i="6"/>
  <c r="O318" i="6" s="1"/>
  <c r="M49" i="6"/>
  <c r="N49" i="6" s="1"/>
  <c r="M333" i="6"/>
  <c r="O333" i="6" s="1"/>
  <c r="M58" i="6"/>
  <c r="N58" i="6" s="1"/>
  <c r="M334" i="6"/>
  <c r="O334" i="6" s="1"/>
  <c r="M67" i="6"/>
  <c r="O67" i="6" s="1"/>
  <c r="M354" i="6"/>
  <c r="N354" i="6" s="1"/>
  <c r="M149" i="6"/>
  <c r="N149" i="6" s="1"/>
  <c r="M479" i="6"/>
  <c r="O479" i="6" s="1"/>
  <c r="M160" i="6"/>
  <c r="N160" i="6" s="1"/>
  <c r="M481" i="6"/>
  <c r="O481" i="6" s="1"/>
  <c r="M186" i="6"/>
  <c r="N186" i="6" s="1"/>
  <c r="O354" i="6"/>
  <c r="N17" i="6"/>
  <c r="O17" i="6"/>
  <c r="M515" i="6"/>
  <c r="N515" i="6" s="1"/>
  <c r="M412" i="6"/>
  <c r="O412" i="6" s="1"/>
  <c r="M312" i="6"/>
  <c r="O312" i="6" s="1"/>
  <c r="M220" i="6"/>
  <c r="O220" i="6" s="1"/>
  <c r="M117" i="6"/>
  <c r="N117" i="6" s="1"/>
  <c r="M41" i="6"/>
  <c r="N41" i="6" s="1"/>
  <c r="M4" i="6"/>
  <c r="O4" i="6" s="1"/>
  <c r="M504" i="6"/>
  <c r="O504" i="6" s="1"/>
  <c r="M391" i="6"/>
  <c r="O391" i="6" s="1"/>
  <c r="M296" i="6"/>
  <c r="O296" i="6" s="1"/>
  <c r="M204" i="6"/>
  <c r="N204" i="6" s="1"/>
  <c r="M106" i="6"/>
  <c r="N106" i="6" s="1"/>
  <c r="M33" i="6"/>
  <c r="M498" i="6"/>
  <c r="N498" i="6" s="1"/>
  <c r="M375" i="6"/>
  <c r="N375" i="6" s="1"/>
  <c r="M278" i="6"/>
  <c r="O278" i="6" s="1"/>
  <c r="M199" i="6"/>
  <c r="M96" i="6"/>
  <c r="M25" i="6"/>
  <c r="N25" i="6" s="1"/>
  <c r="M85" i="6"/>
  <c r="N85" i="6" s="1"/>
  <c r="M256" i="6"/>
  <c r="O256" i="6" s="1"/>
  <c r="M431" i="6"/>
  <c r="O431" i="6" s="1"/>
  <c r="M128" i="6"/>
  <c r="M262" i="6"/>
  <c r="N262" i="6" s="1"/>
  <c r="M437" i="6"/>
  <c r="O437" i="6" s="1"/>
  <c r="O515" i="6"/>
  <c r="O149" i="6"/>
  <c r="O165" i="6"/>
  <c r="M76" i="6"/>
  <c r="N76" i="6" s="1"/>
  <c r="M241" i="6"/>
  <c r="O241" i="6" s="1"/>
  <c r="M370" i="6"/>
  <c r="N370" i="6" s="1"/>
  <c r="M9" i="6"/>
  <c r="N9" i="6" s="1"/>
  <c r="M138" i="6"/>
  <c r="N138" i="6" s="1"/>
  <c r="M277" i="6"/>
  <c r="O277" i="6" s="1"/>
  <c r="M456" i="6"/>
  <c r="O456" i="6" s="1"/>
  <c r="O199" i="6"/>
  <c r="M18" i="6"/>
  <c r="M34" i="6"/>
  <c r="M42" i="6"/>
  <c r="N42" i="6" s="1"/>
  <c r="M68" i="6"/>
  <c r="N68" i="6" s="1"/>
  <c r="M77" i="6"/>
  <c r="N77" i="6" s="1"/>
  <c r="M86" i="6"/>
  <c r="N86" i="6" s="1"/>
  <c r="M188" i="6"/>
  <c r="O188" i="6" s="1"/>
  <c r="M283" i="6"/>
  <c r="N283" i="6" s="1"/>
  <c r="M339" i="6"/>
  <c r="O339" i="6" s="1"/>
  <c r="M355" i="6"/>
  <c r="N355" i="6" s="1"/>
  <c r="M396" i="6"/>
  <c r="N396" i="6" s="1"/>
  <c r="M413" i="6"/>
  <c r="O413" i="6" s="1"/>
  <c r="M438" i="6"/>
  <c r="N438" i="6" s="1"/>
  <c r="M507" i="6"/>
  <c r="N507" i="6" s="1"/>
  <c r="M6" i="6"/>
  <c r="N6" i="6" s="1"/>
  <c r="M247" i="6"/>
  <c r="N247" i="6" s="1"/>
  <c r="M3" i="6"/>
  <c r="N3" i="6" s="1"/>
  <c r="M64" i="6"/>
  <c r="O64" i="6" s="1"/>
  <c r="M73" i="6"/>
  <c r="N73" i="6" s="1"/>
  <c r="M82" i="6"/>
  <c r="O82" i="6" s="1"/>
  <c r="M92" i="6"/>
  <c r="O92" i="6" s="1"/>
  <c r="M102" i="6"/>
  <c r="O102" i="6" s="1"/>
  <c r="M113" i="6"/>
  <c r="O113" i="6" s="1"/>
  <c r="M124" i="6"/>
  <c r="O124" i="6" s="1"/>
  <c r="M134" i="6"/>
  <c r="N134" i="6" s="1"/>
  <c r="M145" i="6"/>
  <c r="O145" i="6" s="1"/>
  <c r="M156" i="6"/>
  <c r="O156" i="6" s="1"/>
  <c r="M170" i="6"/>
  <c r="N170" i="6" s="1"/>
  <c r="M219" i="6"/>
  <c r="N219" i="6" s="1"/>
  <c r="M235" i="6"/>
  <c r="N235" i="6" s="1"/>
  <c r="M275" i="6"/>
  <c r="O275" i="6" s="1"/>
  <c r="M291" i="6"/>
  <c r="O291" i="6" s="1"/>
  <c r="M332" i="6"/>
  <c r="O332" i="6" s="1"/>
  <c r="M348" i="6"/>
  <c r="O348" i="6" s="1"/>
  <c r="M369" i="6"/>
  <c r="N369" i="6" s="1"/>
  <c r="M390" i="6"/>
  <c r="M406" i="6"/>
  <c r="O406" i="6" s="1"/>
  <c r="M430" i="6"/>
  <c r="O430" i="6" s="1"/>
  <c r="M453" i="6"/>
  <c r="O453" i="6" s="1"/>
  <c r="M472" i="6"/>
  <c r="O472" i="6" s="1"/>
  <c r="M497" i="6"/>
  <c r="O497" i="6" s="1"/>
  <c r="M205" i="6"/>
  <c r="N205" i="6" s="1"/>
  <c r="M463" i="6"/>
  <c r="N463" i="6" s="1"/>
  <c r="M97" i="6"/>
  <c r="O97" i="6" s="1"/>
  <c r="M118" i="6"/>
  <c r="O118" i="6" s="1"/>
  <c r="M140" i="6"/>
  <c r="N140" i="6" s="1"/>
  <c r="M320" i="6"/>
  <c r="O320" i="6" s="1"/>
  <c r="M360" i="6"/>
  <c r="N360" i="6" s="1"/>
  <c r="M397" i="6"/>
  <c r="N397" i="6" s="1"/>
  <c r="M439" i="6"/>
  <c r="N439" i="6" s="1"/>
  <c r="M488" i="6"/>
  <c r="N488" i="6" s="1"/>
  <c r="M13" i="6"/>
  <c r="N13" i="6" s="1"/>
  <c r="M21" i="6"/>
  <c r="N21" i="6" s="1"/>
  <c r="M29" i="6"/>
  <c r="N29" i="6" s="1"/>
  <c r="M37" i="6"/>
  <c r="N37" i="6" s="1"/>
  <c r="M45" i="6"/>
  <c r="N45" i="6" s="1"/>
  <c r="M53" i="6"/>
  <c r="N53" i="6" s="1"/>
  <c r="M62" i="6"/>
  <c r="N62" i="6" s="1"/>
  <c r="M71" i="6"/>
  <c r="N71" i="6" s="1"/>
  <c r="M165" i="6"/>
  <c r="N165" i="6" s="1"/>
  <c r="M192" i="6"/>
  <c r="M211" i="6"/>
  <c r="O211" i="6" s="1"/>
  <c r="M227" i="6"/>
  <c r="O227" i="6" s="1"/>
  <c r="M268" i="6"/>
  <c r="N268" i="6" s="1"/>
  <c r="M284" i="6"/>
  <c r="O284" i="6" s="1"/>
  <c r="M305" i="6"/>
  <c r="N305" i="6" s="1"/>
  <c r="M326" i="6"/>
  <c r="M342" i="6"/>
  <c r="O342" i="6" s="1"/>
  <c r="M382" i="6"/>
  <c r="O382" i="6" s="1"/>
  <c r="M398" i="6"/>
  <c r="O398" i="6" s="1"/>
  <c r="M420" i="6"/>
  <c r="O420" i="6" s="1"/>
  <c r="M445" i="6"/>
  <c r="O445" i="6" s="1"/>
  <c r="M464" i="6"/>
  <c r="O464" i="6" s="1"/>
  <c r="M489" i="6"/>
  <c r="O489" i="6" s="1"/>
  <c r="M529" i="6"/>
  <c r="O529" i="6" s="1"/>
  <c r="M525" i="6"/>
  <c r="O525" i="6" s="1"/>
  <c r="M521" i="6"/>
  <c r="O521" i="6" s="1"/>
  <c r="M517" i="6"/>
  <c r="O517" i="6" s="1"/>
  <c r="M513" i="6"/>
  <c r="O513" i="6" s="1"/>
  <c r="M528" i="6"/>
  <c r="N528" i="6" s="1"/>
  <c r="M520" i="6"/>
  <c r="O520" i="6" s="1"/>
  <c r="M512" i="6"/>
  <c r="O512" i="6" s="1"/>
  <c r="M506" i="6"/>
  <c r="O506" i="6" s="1"/>
  <c r="M493" i="6"/>
  <c r="O493" i="6" s="1"/>
  <c r="M487" i="6"/>
  <c r="N487" i="6" s="1"/>
  <c r="M480" i="6"/>
  <c r="O480" i="6" s="1"/>
  <c r="M474" i="6"/>
  <c r="O474" i="6" s="1"/>
  <c r="M461" i="6"/>
  <c r="N461" i="6" s="1"/>
  <c r="M455" i="6"/>
  <c r="M448" i="6"/>
  <c r="O448" i="6" s="1"/>
  <c r="M442" i="6"/>
  <c r="O442" i="6" s="1"/>
  <c r="M429" i="6"/>
  <c r="O429" i="6" s="1"/>
  <c r="M423" i="6"/>
  <c r="O423" i="6" s="1"/>
  <c r="M416" i="6"/>
  <c r="O416" i="6" s="1"/>
  <c r="M410" i="6"/>
  <c r="O410" i="6" s="1"/>
  <c r="M404" i="6"/>
  <c r="O404" i="6" s="1"/>
  <c r="M399" i="6"/>
  <c r="O399" i="6" s="1"/>
  <c r="M394" i="6"/>
  <c r="O394" i="6" s="1"/>
  <c r="M388" i="6"/>
  <c r="N388" i="6" s="1"/>
  <c r="M383" i="6"/>
  <c r="N383" i="6" s="1"/>
  <c r="M378" i="6"/>
  <c r="O378" i="6" s="1"/>
  <c r="M372" i="6"/>
  <c r="O372" i="6" s="1"/>
  <c r="M367" i="6"/>
  <c r="O367" i="6" s="1"/>
  <c r="M362" i="6"/>
  <c r="M356" i="6"/>
  <c r="N356" i="6" s="1"/>
  <c r="M351" i="6"/>
  <c r="O351" i="6" s="1"/>
  <c r="M346" i="6"/>
  <c r="O346" i="6" s="1"/>
  <c r="M340" i="6"/>
  <c r="O340" i="6" s="1"/>
  <c r="M335" i="6"/>
  <c r="O335" i="6" s="1"/>
  <c r="M330" i="6"/>
  <c r="O330" i="6" s="1"/>
  <c r="M324" i="6"/>
  <c r="O324" i="6" s="1"/>
  <c r="M319" i="6"/>
  <c r="N319" i="6" s="1"/>
  <c r="M314" i="6"/>
  <c r="O314" i="6" s="1"/>
  <c r="M308" i="6"/>
  <c r="N308" i="6" s="1"/>
  <c r="M303" i="6"/>
  <c r="O303" i="6" s="1"/>
  <c r="M298" i="6"/>
  <c r="M292" i="6"/>
  <c r="O292" i="6" s="1"/>
  <c r="M287" i="6"/>
  <c r="M282" i="6"/>
  <c r="O282" i="6" s="1"/>
  <c r="M276" i="6"/>
  <c r="O276" i="6" s="1"/>
  <c r="M271" i="6"/>
  <c r="O271" i="6" s="1"/>
  <c r="M266" i="6"/>
  <c r="O266" i="6" s="1"/>
  <c r="M260" i="6"/>
  <c r="O260" i="6" s="1"/>
  <c r="M255" i="6"/>
  <c r="M250" i="6"/>
  <c r="N250" i="6" s="1"/>
  <c r="M244" i="6"/>
  <c r="O244" i="6" s="1"/>
  <c r="M239" i="6"/>
  <c r="O239" i="6" s="1"/>
  <c r="M234" i="6"/>
  <c r="N234" i="6" s="1"/>
  <c r="M228" i="6"/>
  <c r="O228" i="6" s="1"/>
  <c r="M223" i="6"/>
  <c r="O223" i="6" s="1"/>
  <c r="M218" i="6"/>
  <c r="N218" i="6" s="1"/>
  <c r="M212" i="6"/>
  <c r="O212" i="6" s="1"/>
  <c r="M207" i="6"/>
  <c r="O207" i="6" s="1"/>
  <c r="M202" i="6"/>
  <c r="N202" i="6" s="1"/>
  <c r="M196" i="6"/>
  <c r="N196" i="6" s="1"/>
  <c r="M505" i="6"/>
  <c r="O505" i="6" s="1"/>
  <c r="M499" i="6"/>
  <c r="O499" i="6" s="1"/>
  <c r="M492" i="6"/>
  <c r="O492" i="6" s="1"/>
  <c r="M486" i="6"/>
  <c r="O486" i="6" s="1"/>
  <c r="M473" i="6"/>
  <c r="N473" i="6" s="1"/>
  <c r="M467" i="6"/>
  <c r="N467" i="6" s="1"/>
  <c r="M460" i="6"/>
  <c r="N460" i="6" s="1"/>
  <c r="M454" i="6"/>
  <c r="O454" i="6" s="1"/>
  <c r="M441" i="6"/>
  <c r="O441" i="6" s="1"/>
  <c r="M435" i="6"/>
  <c r="N435" i="6" s="1"/>
  <c r="M428" i="6"/>
  <c r="O428" i="6" s="1"/>
  <c r="M422" i="6"/>
  <c r="N422" i="6" s="1"/>
  <c r="M409" i="6"/>
  <c r="N409" i="6" s="1"/>
  <c r="M393" i="6"/>
  <c r="O393" i="6" s="1"/>
  <c r="M377" i="6"/>
  <c r="M361" i="6"/>
  <c r="O361" i="6" s="1"/>
  <c r="M345" i="6"/>
  <c r="O345" i="6" s="1"/>
  <c r="M329" i="6"/>
  <c r="O329" i="6" s="1"/>
  <c r="M313" i="6"/>
  <c r="O313" i="6" s="1"/>
  <c r="M297" i="6"/>
  <c r="N297" i="6" s="1"/>
  <c r="M281" i="6"/>
  <c r="N281" i="6" s="1"/>
  <c r="M265" i="6"/>
  <c r="N265" i="6" s="1"/>
  <c r="M249" i="6"/>
  <c r="N249" i="6" s="1"/>
  <c r="M233" i="6"/>
  <c r="O233" i="6" s="1"/>
  <c r="M217" i="6"/>
  <c r="O217" i="6" s="1"/>
  <c r="M201" i="6"/>
  <c r="O201" i="6" s="1"/>
  <c r="M191" i="6"/>
  <c r="O191" i="6" s="1"/>
  <c r="M187" i="6"/>
  <c r="N187" i="6" s="1"/>
  <c r="M183" i="6"/>
  <c r="N183" i="6" s="1"/>
  <c r="M179" i="6"/>
  <c r="N179" i="6" s="1"/>
  <c r="M175" i="6"/>
  <c r="M171" i="6"/>
  <c r="N171" i="6" s="1"/>
  <c r="M167" i="6"/>
  <c r="O167" i="6" s="1"/>
  <c r="M163" i="6"/>
  <c r="O163" i="6" s="1"/>
  <c r="M159" i="6"/>
  <c r="O159" i="6" s="1"/>
  <c r="M155" i="6"/>
  <c r="O155" i="6" s="1"/>
  <c r="M151" i="6"/>
  <c r="N151" i="6" s="1"/>
  <c r="M147" i="6"/>
  <c r="N147" i="6" s="1"/>
  <c r="M143" i="6"/>
  <c r="M139" i="6"/>
  <c r="N139" i="6" s="1"/>
  <c r="M135" i="6"/>
  <c r="O135" i="6" s="1"/>
  <c r="M131" i="6"/>
  <c r="N131" i="6" s="1"/>
  <c r="M127" i="6"/>
  <c r="O127" i="6" s="1"/>
  <c r="M123" i="6"/>
  <c r="N123" i="6" s="1"/>
  <c r="M119" i="6"/>
  <c r="O119" i="6" s="1"/>
  <c r="M115" i="6"/>
  <c r="N115" i="6" s="1"/>
  <c r="M111" i="6"/>
  <c r="M107" i="6"/>
  <c r="N107" i="6" s="1"/>
  <c r="M103" i="6"/>
  <c r="O103" i="6" s="1"/>
  <c r="M99" i="6"/>
  <c r="O99" i="6" s="1"/>
  <c r="M95" i="6"/>
  <c r="O95" i="6" s="1"/>
  <c r="M91" i="6"/>
  <c r="N91" i="6" s="1"/>
  <c r="M527" i="6"/>
  <c r="N527" i="6" s="1"/>
  <c r="M526" i="6"/>
  <c r="N526" i="6" s="1"/>
  <c r="M524" i="6"/>
  <c r="N524" i="6" s="1"/>
  <c r="M522" i="6"/>
  <c r="O522" i="6" s="1"/>
  <c r="M511" i="6"/>
  <c r="O511" i="6" s="1"/>
  <c r="M503" i="6"/>
  <c r="N503" i="6" s="1"/>
  <c r="M495" i="6"/>
  <c r="O495" i="6" s="1"/>
  <c r="M485" i="6"/>
  <c r="N485" i="6" s="1"/>
  <c r="M477" i="6"/>
  <c r="N477" i="6" s="1"/>
  <c r="M469" i="6"/>
  <c r="N469" i="6" s="1"/>
  <c r="M434" i="6"/>
  <c r="N434" i="6" s="1"/>
  <c r="M426" i="6"/>
  <c r="O426" i="6" s="1"/>
  <c r="M418" i="6"/>
  <c r="O418" i="6" s="1"/>
  <c r="M408" i="6"/>
  <c r="N408" i="6" s="1"/>
  <c r="M402" i="6"/>
  <c r="O402" i="6" s="1"/>
  <c r="M395" i="6"/>
  <c r="O395" i="6" s="1"/>
  <c r="M387" i="6"/>
  <c r="N387" i="6" s="1"/>
  <c r="M380" i="6"/>
  <c r="N380" i="6" s="1"/>
  <c r="M374" i="6"/>
  <c r="N374" i="6" s="1"/>
  <c r="M366" i="6"/>
  <c r="M359" i="6"/>
  <c r="O359" i="6" s="1"/>
  <c r="M352" i="6"/>
  <c r="O352" i="6" s="1"/>
  <c r="M344" i="6"/>
  <c r="O344" i="6" s="1"/>
  <c r="M338" i="6"/>
  <c r="O338" i="6" s="1"/>
  <c r="M331" i="6"/>
  <c r="O331" i="6" s="1"/>
  <c r="M323" i="6"/>
  <c r="N323" i="6" s="1"/>
  <c r="M316" i="6"/>
  <c r="O316" i="6" s="1"/>
  <c r="M310" i="6"/>
  <c r="N310" i="6" s="1"/>
  <c r="M302" i="6"/>
  <c r="O302" i="6" s="1"/>
  <c r="M295" i="6"/>
  <c r="N295" i="6" s="1"/>
  <c r="M288" i="6"/>
  <c r="O288" i="6" s="1"/>
  <c r="M280" i="6"/>
  <c r="N280" i="6" s="1"/>
  <c r="M274" i="6"/>
  <c r="O274" i="6" s="1"/>
  <c r="M267" i="6"/>
  <c r="O267" i="6" s="1"/>
  <c r="M259" i="6"/>
  <c r="N259" i="6" s="1"/>
  <c r="M252" i="6"/>
  <c r="O252" i="6" s="1"/>
  <c r="M246" i="6"/>
  <c r="O246" i="6" s="1"/>
  <c r="M238" i="6"/>
  <c r="O238" i="6" s="1"/>
  <c r="M231" i="6"/>
  <c r="O231" i="6" s="1"/>
  <c r="M224" i="6"/>
  <c r="O224" i="6" s="1"/>
  <c r="M216" i="6"/>
  <c r="N216" i="6" s="1"/>
  <c r="M210" i="6"/>
  <c r="M203" i="6"/>
  <c r="N203" i="6" s="1"/>
  <c r="M195" i="6"/>
  <c r="N195" i="6" s="1"/>
  <c r="M84" i="6"/>
  <c r="O84" i="6" s="1"/>
  <c r="M79" i="6"/>
  <c r="O79" i="6" s="1"/>
  <c r="M70" i="6"/>
  <c r="O70" i="6" s="1"/>
  <c r="M61" i="6"/>
  <c r="N61" i="6" s="1"/>
  <c r="M52" i="6"/>
  <c r="N52" i="6" s="1"/>
  <c r="M48" i="6"/>
  <c r="M44" i="6"/>
  <c r="N44" i="6" s="1"/>
  <c r="M40" i="6"/>
  <c r="N40" i="6" s="1"/>
  <c r="M36" i="6"/>
  <c r="O36" i="6" s="1"/>
  <c r="M32" i="6"/>
  <c r="O32" i="6" s="1"/>
  <c r="M28" i="6"/>
  <c r="O28" i="6" s="1"/>
  <c r="M24" i="6"/>
  <c r="N24" i="6" s="1"/>
  <c r="M20" i="6"/>
  <c r="O20" i="6" s="1"/>
  <c r="M16" i="6"/>
  <c r="M12" i="6"/>
  <c r="N12" i="6" s="1"/>
  <c r="M8" i="6"/>
  <c r="N8" i="6" s="1"/>
  <c r="M5" i="6"/>
  <c r="N5" i="6" s="1"/>
  <c r="M508" i="6"/>
  <c r="O508" i="6" s="1"/>
  <c r="M500" i="6"/>
  <c r="O500" i="6" s="1"/>
  <c r="M491" i="6"/>
  <c r="N491" i="6" s="1"/>
  <c r="M483" i="6"/>
  <c r="N483" i="6" s="1"/>
  <c r="M475" i="6"/>
  <c r="O475" i="6" s="1"/>
  <c r="M465" i="6"/>
  <c r="M457" i="6"/>
  <c r="O457" i="6" s="1"/>
  <c r="M449" i="6"/>
  <c r="O449" i="6" s="1"/>
  <c r="M414" i="6"/>
  <c r="N414" i="6" s="1"/>
  <c r="M385" i="6"/>
  <c r="N385" i="6" s="1"/>
  <c r="M357" i="6"/>
  <c r="O357" i="6" s="1"/>
  <c r="M349" i="6"/>
  <c r="N349" i="6" s="1"/>
  <c r="M321" i="6"/>
  <c r="O321" i="6" s="1"/>
  <c r="M293" i="6"/>
  <c r="O293" i="6" s="1"/>
  <c r="M285" i="6"/>
  <c r="N285" i="6" s="1"/>
  <c r="M257" i="6"/>
  <c r="O257" i="6" s="1"/>
  <c r="M229" i="6"/>
  <c r="O229" i="6" s="1"/>
  <c r="M221" i="6"/>
  <c r="N221" i="6" s="1"/>
  <c r="M193" i="6"/>
  <c r="O193" i="6" s="1"/>
  <c r="M182" i="6"/>
  <c r="N182" i="6" s="1"/>
  <c r="M177" i="6"/>
  <c r="O177" i="6" s="1"/>
  <c r="M172" i="6"/>
  <c r="N172" i="6" s="1"/>
  <c r="M166" i="6"/>
  <c r="N166" i="6" s="1"/>
  <c r="M161" i="6"/>
  <c r="O161" i="6" s="1"/>
  <c r="M523" i="6"/>
  <c r="O523" i="6" s="1"/>
  <c r="M510" i="6"/>
  <c r="O510" i="6" s="1"/>
  <c r="M502" i="6"/>
  <c r="O502" i="6" s="1"/>
  <c r="M494" i="6"/>
  <c r="O494" i="6" s="1"/>
  <c r="M484" i="6"/>
  <c r="N484" i="6" s="1"/>
  <c r="M476" i="6"/>
  <c r="N476" i="6" s="1"/>
  <c r="M468" i="6"/>
  <c r="O468" i="6" s="1"/>
  <c r="M459" i="6"/>
  <c r="O459" i="6" s="1"/>
  <c r="M451" i="6"/>
  <c r="N451" i="6" s="1"/>
  <c r="M443" i="6"/>
  <c r="O443" i="6" s="1"/>
  <c r="M433" i="6"/>
  <c r="O433" i="6" s="1"/>
  <c r="M425" i="6"/>
  <c r="O425" i="6" s="1"/>
  <c r="M417" i="6"/>
  <c r="O417" i="6" s="1"/>
  <c r="M401" i="6"/>
  <c r="M373" i="6"/>
  <c r="N373" i="6" s="1"/>
  <c r="M365" i="6"/>
  <c r="O365" i="6" s="1"/>
  <c r="M337" i="6"/>
  <c r="O337" i="6" s="1"/>
  <c r="M309" i="6"/>
  <c r="N309" i="6" s="1"/>
  <c r="M301" i="6"/>
  <c r="O301" i="6" s="1"/>
  <c r="M273" i="6"/>
  <c r="M245" i="6"/>
  <c r="N245" i="6" s="1"/>
  <c r="M237" i="6"/>
  <c r="N237" i="6" s="1"/>
  <c r="M209" i="6"/>
  <c r="M189" i="6"/>
  <c r="O189" i="6" s="1"/>
  <c r="M184" i="6"/>
  <c r="O184" i="6" s="1"/>
  <c r="M178" i="6"/>
  <c r="O178" i="6" s="1"/>
  <c r="M173" i="6"/>
  <c r="O173" i="6" s="1"/>
  <c r="M168" i="6"/>
  <c r="N168" i="6" s="1"/>
  <c r="M162" i="6"/>
  <c r="O162" i="6" s="1"/>
  <c r="M157" i="6"/>
  <c r="N157" i="6" s="1"/>
  <c r="M152" i="6"/>
  <c r="O152" i="6" s="1"/>
  <c r="M146" i="6"/>
  <c r="O146" i="6" s="1"/>
  <c r="M141" i="6"/>
  <c r="N141" i="6" s="1"/>
  <c r="M136" i="6"/>
  <c r="O136" i="6" s="1"/>
  <c r="M130" i="6"/>
  <c r="O130" i="6" s="1"/>
  <c r="M125" i="6"/>
  <c r="N125" i="6" s="1"/>
  <c r="M120" i="6"/>
  <c r="O120" i="6" s="1"/>
  <c r="M114" i="6"/>
  <c r="O114" i="6" s="1"/>
  <c r="M109" i="6"/>
  <c r="O109" i="6" s="1"/>
  <c r="M104" i="6"/>
  <c r="O104" i="6" s="1"/>
  <c r="M98" i="6"/>
  <c r="O98" i="6" s="1"/>
  <c r="M93" i="6"/>
  <c r="O93" i="6" s="1"/>
  <c r="M88" i="6"/>
  <c r="O88" i="6" s="1"/>
  <c r="M83" i="6"/>
  <c r="N83" i="6" s="1"/>
  <c r="M74" i="6"/>
  <c r="N74" i="6" s="1"/>
  <c r="M65" i="6"/>
  <c r="O65" i="6" s="1"/>
  <c r="M56" i="6"/>
  <c r="O56" i="6" s="1"/>
  <c r="M519" i="6"/>
  <c r="O519" i="6" s="1"/>
  <c r="M509" i="6"/>
  <c r="O509" i="6" s="1"/>
  <c r="M501" i="6"/>
  <c r="O501" i="6" s="1"/>
  <c r="M466" i="6"/>
  <c r="O466" i="6" s="1"/>
  <c r="M458" i="6"/>
  <c r="O458" i="6" s="1"/>
  <c r="M450" i="6"/>
  <c r="O450" i="6" s="1"/>
  <c r="M440" i="6"/>
  <c r="O440" i="6" s="1"/>
  <c r="M432" i="6"/>
  <c r="M424" i="6"/>
  <c r="O424" i="6" s="1"/>
  <c r="M415" i="6"/>
  <c r="O415" i="6" s="1"/>
  <c r="M407" i="6"/>
  <c r="O407" i="6" s="1"/>
  <c r="M400" i="6"/>
  <c r="N400" i="6" s="1"/>
  <c r="M392" i="6"/>
  <c r="M386" i="6"/>
  <c r="N386" i="6" s="1"/>
  <c r="M379" i="6"/>
  <c r="N379" i="6" s="1"/>
  <c r="M371" i="6"/>
  <c r="N371" i="6" s="1"/>
  <c r="M364" i="6"/>
  <c r="O364" i="6" s="1"/>
  <c r="M358" i="6"/>
  <c r="N358" i="6" s="1"/>
  <c r="M350" i="6"/>
  <c r="O350" i="6" s="1"/>
  <c r="M343" i="6"/>
  <c r="O343" i="6" s="1"/>
  <c r="M336" i="6"/>
  <c r="N336" i="6" s="1"/>
  <c r="M328" i="6"/>
  <c r="M322" i="6"/>
  <c r="O322" i="6" s="1"/>
  <c r="M315" i="6"/>
  <c r="N315" i="6" s="1"/>
  <c r="M307" i="6"/>
  <c r="N307" i="6" s="1"/>
  <c r="M300" i="6"/>
  <c r="O300" i="6" s="1"/>
  <c r="M294" i="6"/>
  <c r="O294" i="6" s="1"/>
  <c r="M286" i="6"/>
  <c r="O286" i="6" s="1"/>
  <c r="M279" i="6"/>
  <c r="N279" i="6" s="1"/>
  <c r="M272" i="6"/>
  <c r="M264" i="6"/>
  <c r="N264" i="6" s="1"/>
  <c r="M258" i="6"/>
  <c r="O258" i="6" s="1"/>
  <c r="M251" i="6"/>
  <c r="O251" i="6" s="1"/>
  <c r="M243" i="6"/>
  <c r="N243" i="6" s="1"/>
  <c r="M236" i="6"/>
  <c r="O236" i="6" s="1"/>
  <c r="M230" i="6"/>
  <c r="O230" i="6" s="1"/>
  <c r="M222" i="6"/>
  <c r="N222" i="6" s="1"/>
  <c r="M215" i="6"/>
  <c r="N215" i="6" s="1"/>
  <c r="M208" i="6"/>
  <c r="M200" i="6"/>
  <c r="N200" i="6" s="1"/>
  <c r="M194" i="6"/>
  <c r="O194" i="6" s="1"/>
  <c r="M87" i="6"/>
  <c r="N87" i="6" s="1"/>
  <c r="M78" i="6"/>
  <c r="O78" i="6" s="1"/>
  <c r="M69" i="6"/>
  <c r="O69" i="6" s="1"/>
  <c r="M60" i="6"/>
  <c r="O60" i="6" s="1"/>
  <c r="M55" i="6"/>
  <c r="N55" i="6" s="1"/>
  <c r="M51" i="6"/>
  <c r="N51" i="6" s="1"/>
  <c r="M47" i="6"/>
  <c r="M43" i="6"/>
  <c r="N43" i="6" s="1"/>
  <c r="M39" i="6"/>
  <c r="O39" i="6" s="1"/>
  <c r="M35" i="6"/>
  <c r="N35" i="6" s="1"/>
  <c r="M31" i="6"/>
  <c r="O31" i="6" s="1"/>
  <c r="M27" i="6"/>
  <c r="O27" i="6" s="1"/>
  <c r="M23" i="6"/>
  <c r="O23" i="6" s="1"/>
  <c r="M19" i="6"/>
  <c r="N19" i="6" s="1"/>
  <c r="M15" i="6"/>
  <c r="M11" i="6"/>
  <c r="O11" i="6" s="1"/>
  <c r="M518" i="6"/>
  <c r="O518" i="6" s="1"/>
  <c r="M514" i="6"/>
  <c r="O514" i="6" s="1"/>
  <c r="M478" i="6"/>
  <c r="O478" i="6" s="1"/>
  <c r="M470" i="6"/>
  <c r="M462" i="6"/>
  <c r="O462" i="6" s="1"/>
  <c r="M452" i="6"/>
  <c r="N452" i="6" s="1"/>
  <c r="M444" i="6"/>
  <c r="N444" i="6" s="1"/>
  <c r="M436" i="6"/>
  <c r="O436" i="6" s="1"/>
  <c r="M427" i="6"/>
  <c r="N427" i="6" s="1"/>
  <c r="M419" i="6"/>
  <c r="N419" i="6" s="1"/>
  <c r="M411" i="6"/>
  <c r="N411" i="6" s="1"/>
  <c r="M389" i="6"/>
  <c r="O389" i="6" s="1"/>
  <c r="M381" i="6"/>
  <c r="N381" i="6" s="1"/>
  <c r="M353" i="6"/>
  <c r="M325" i="6"/>
  <c r="N325" i="6" s="1"/>
  <c r="M317" i="6"/>
  <c r="O317" i="6" s="1"/>
  <c r="M289" i="6"/>
  <c r="O289" i="6" s="1"/>
  <c r="M261" i="6"/>
  <c r="O261" i="6" s="1"/>
  <c r="M253" i="6"/>
  <c r="O253" i="6" s="1"/>
  <c r="M225" i="6"/>
  <c r="O225" i="6" s="1"/>
  <c r="M197" i="6"/>
  <c r="N197" i="6" s="1"/>
  <c r="M190" i="6"/>
  <c r="N190" i="6" s="1"/>
  <c r="M185" i="6"/>
  <c r="N185" i="6" s="1"/>
  <c r="M180" i="6"/>
  <c r="N180" i="6" s="1"/>
  <c r="M174" i="6"/>
  <c r="N174" i="6" s="1"/>
  <c r="M169" i="6"/>
  <c r="N169" i="6" s="1"/>
  <c r="M164" i="6"/>
  <c r="N164" i="6" s="1"/>
  <c r="M158" i="6"/>
  <c r="N158" i="6" s="1"/>
  <c r="M153" i="6"/>
  <c r="N153" i="6" s="1"/>
  <c r="M148" i="6"/>
  <c r="N148" i="6" s="1"/>
  <c r="M142" i="6"/>
  <c r="N142" i="6" s="1"/>
  <c r="M137" i="6"/>
  <c r="N137" i="6" s="1"/>
  <c r="M132" i="6"/>
  <c r="N132" i="6" s="1"/>
  <c r="M126" i="6"/>
  <c r="N126" i="6" s="1"/>
  <c r="M121" i="6"/>
  <c r="N121" i="6" s="1"/>
  <c r="M116" i="6"/>
  <c r="N116" i="6" s="1"/>
  <c r="M110" i="6"/>
  <c r="N110" i="6" s="1"/>
  <c r="M105" i="6"/>
  <c r="N105" i="6" s="1"/>
  <c r="M100" i="6"/>
  <c r="N100" i="6" s="1"/>
  <c r="M94" i="6"/>
  <c r="N94" i="6" s="1"/>
  <c r="M89" i="6"/>
  <c r="N89" i="6" s="1"/>
  <c r="M80" i="6"/>
  <c r="M75" i="6"/>
  <c r="O75" i="6" s="1"/>
  <c r="M66" i="6"/>
  <c r="M57" i="6"/>
  <c r="N57" i="6" s="1"/>
  <c r="M72" i="6"/>
  <c r="N72" i="6" s="1"/>
  <c r="M81" i="6"/>
  <c r="M90" i="6"/>
  <c r="N90" i="6" s="1"/>
  <c r="M101" i="6"/>
  <c r="N101" i="6" s="1"/>
  <c r="M112" i="6"/>
  <c r="M122" i="6"/>
  <c r="N122" i="6" s="1"/>
  <c r="M133" i="6"/>
  <c r="N133" i="6" s="1"/>
  <c r="M144" i="6"/>
  <c r="M154" i="6"/>
  <c r="N154" i="6" s="1"/>
  <c r="M181" i="6"/>
  <c r="N181" i="6" s="1"/>
  <c r="M213" i="6"/>
  <c r="O213" i="6" s="1"/>
  <c r="M232" i="6"/>
  <c r="O232" i="6" s="1"/>
  <c r="M248" i="6"/>
  <c r="O248" i="6" s="1"/>
  <c r="M269" i="6"/>
  <c r="O269" i="6" s="1"/>
  <c r="M290" i="6"/>
  <c r="M306" i="6"/>
  <c r="O306" i="6" s="1"/>
  <c r="M347" i="6"/>
  <c r="N347" i="6" s="1"/>
  <c r="M363" i="6"/>
  <c r="O363" i="6" s="1"/>
  <c r="M403" i="6"/>
  <c r="O403" i="6" s="1"/>
  <c r="M421" i="6"/>
  <c r="N421" i="6" s="1"/>
  <c r="M446" i="6"/>
  <c r="O446" i="6" s="1"/>
  <c r="M471" i="6"/>
  <c r="M490" i="6"/>
  <c r="O490" i="6" s="1"/>
  <c r="M10" i="6"/>
  <c r="N10" i="6" s="1"/>
  <c r="M26" i="6"/>
  <c r="N26" i="6" s="1"/>
  <c r="M50" i="6"/>
  <c r="M176" i="6"/>
  <c r="M226" i="6"/>
  <c r="M242" i="6"/>
  <c r="O242" i="6" s="1"/>
  <c r="M299" i="6"/>
  <c r="O299" i="6" s="1"/>
  <c r="M482" i="6"/>
  <c r="O482" i="6" s="1"/>
  <c r="M59" i="6"/>
  <c r="O59" i="6" s="1"/>
  <c r="M108" i="6"/>
  <c r="N108" i="6" s="1"/>
  <c r="M129" i="6"/>
  <c r="M150" i="6"/>
  <c r="O150" i="6" s="1"/>
  <c r="M206" i="6"/>
  <c r="N206" i="6" s="1"/>
  <c r="M263" i="6"/>
  <c r="N263" i="6" s="1"/>
  <c r="M304" i="6"/>
  <c r="O304" i="6" s="1"/>
  <c r="M341" i="6"/>
  <c r="N341" i="6" s="1"/>
  <c r="M376" i="6"/>
  <c r="O376" i="6" s="1"/>
  <c r="M2" i="6"/>
  <c r="O2" i="6" s="1"/>
  <c r="M7" i="6"/>
  <c r="N7" i="6" s="1"/>
  <c r="M14" i="6"/>
  <c r="N14" i="6" s="1"/>
  <c r="M22" i="6"/>
  <c r="N22" i="6" s="1"/>
  <c r="M30" i="6"/>
  <c r="N30" i="6" s="1"/>
  <c r="M38" i="6"/>
  <c r="N38" i="6" s="1"/>
  <c r="M46" i="6"/>
  <c r="N46" i="6" s="1"/>
  <c r="M54" i="6"/>
  <c r="N54" i="6" s="1"/>
  <c r="M63" i="6"/>
  <c r="M198" i="6"/>
  <c r="N198" i="6" s="1"/>
  <c r="M214" i="6"/>
  <c r="O214" i="6" s="1"/>
  <c r="M254" i="6"/>
  <c r="O254" i="6" s="1"/>
  <c r="M270" i="6"/>
  <c r="O270" i="6" s="1"/>
  <c r="M311" i="6"/>
  <c r="N311" i="6" s="1"/>
  <c r="M327" i="6"/>
  <c r="M368" i="6"/>
  <c r="M384" i="6"/>
  <c r="N384" i="6" s="1"/>
  <c r="M405" i="6"/>
  <c r="N405" i="6" s="1"/>
  <c r="M447" i="6"/>
  <c r="O447" i="6" s="1"/>
  <c r="M496" i="6"/>
  <c r="O496" i="6" s="1"/>
  <c r="M516" i="6"/>
  <c r="N516" i="6" s="1"/>
  <c r="N529" i="6"/>
  <c r="N525" i="6"/>
  <c r="N521" i="6"/>
  <c r="N517" i="6"/>
  <c r="N513" i="6"/>
  <c r="N505" i="6"/>
  <c r="N497" i="6"/>
  <c r="N453" i="6"/>
  <c r="N445" i="6"/>
  <c r="N441" i="6"/>
  <c r="N437" i="6"/>
  <c r="N361" i="6"/>
  <c r="N289" i="6"/>
  <c r="N269" i="6"/>
  <c r="N241" i="6"/>
  <c r="N201" i="6"/>
  <c r="N504" i="6"/>
  <c r="N496" i="6"/>
  <c r="N492" i="6"/>
  <c r="N420" i="6"/>
  <c r="N416" i="6"/>
  <c r="N412" i="6"/>
  <c r="N324" i="6"/>
  <c r="N320" i="6"/>
  <c r="N300" i="6"/>
  <c r="N296" i="6"/>
  <c r="N292" i="6"/>
  <c r="N240" i="6"/>
  <c r="N522" i="6"/>
  <c r="N518" i="6"/>
  <c r="N510" i="6"/>
  <c r="N442" i="6"/>
  <c r="N410" i="6"/>
  <c r="N499" i="6"/>
  <c r="N163" i="6"/>
  <c r="N79" i="6"/>
  <c r="N479" i="6"/>
  <c r="N415" i="6"/>
  <c r="N318" i="6"/>
  <c r="N302" i="6"/>
  <c r="N291" i="6"/>
  <c r="N275" i="6"/>
  <c r="N254" i="6"/>
  <c r="N227" i="6"/>
  <c r="N32" i="6"/>
  <c r="N84" i="6"/>
  <c r="N239" i="6"/>
  <c r="N282" i="6"/>
  <c r="N359" i="6"/>
  <c r="N113" i="6"/>
  <c r="N118" i="6"/>
  <c r="N124" i="6"/>
  <c r="N188" i="6"/>
  <c r="N258" i="6"/>
  <c r="N294" i="6"/>
  <c r="N199" i="6"/>
  <c r="N278" i="6"/>
  <c r="N314" i="6"/>
  <c r="N363" i="6"/>
  <c r="N391" i="6"/>
  <c r="N109" i="6"/>
  <c r="N114" i="6"/>
  <c r="N152" i="6"/>
  <c r="N184" i="6"/>
  <c r="E511" i="5"/>
  <c r="E534" i="5"/>
  <c r="E557" i="5"/>
  <c r="E575" i="5"/>
  <c r="E8" i="5"/>
  <c r="E24" i="5"/>
  <c r="E40" i="5"/>
  <c r="E56" i="5"/>
  <c r="E72" i="5"/>
  <c r="E88" i="5"/>
  <c r="E104" i="5"/>
  <c r="E120" i="5"/>
  <c r="E136" i="5"/>
  <c r="E152" i="5"/>
  <c r="E168" i="5"/>
  <c r="E184" i="5"/>
  <c r="E200" i="5"/>
  <c r="E216" i="5"/>
  <c r="E232" i="5"/>
  <c r="E248" i="5"/>
  <c r="E264" i="5"/>
  <c r="E280" i="5"/>
  <c r="E296" i="5"/>
  <c r="E312" i="5"/>
  <c r="E328" i="5"/>
  <c r="E344" i="5"/>
  <c r="E360" i="5"/>
  <c r="E376" i="5"/>
  <c r="E392" i="5"/>
  <c r="E408" i="5"/>
  <c r="E424" i="5"/>
  <c r="E440" i="5"/>
  <c r="E456" i="5"/>
  <c r="E472" i="5"/>
  <c r="E494" i="5"/>
  <c r="E517" i="5"/>
  <c r="E535" i="5"/>
  <c r="E558" i="5"/>
  <c r="E581" i="5"/>
  <c r="E16" i="5"/>
  <c r="E32" i="5"/>
  <c r="E48" i="5"/>
  <c r="E64" i="5"/>
  <c r="E80" i="5"/>
  <c r="E96" i="5"/>
  <c r="E112" i="5"/>
  <c r="E128" i="5"/>
  <c r="E144" i="5"/>
  <c r="E160" i="5"/>
  <c r="E176" i="5"/>
  <c r="E192" i="5"/>
  <c r="E208" i="5"/>
  <c r="E224" i="5"/>
  <c r="E240" i="5"/>
  <c r="E256" i="5"/>
  <c r="E272" i="5"/>
  <c r="E288" i="5"/>
  <c r="E304" i="5"/>
  <c r="E320" i="5"/>
  <c r="E336" i="5"/>
  <c r="E352" i="5"/>
  <c r="E368" i="5"/>
  <c r="E384" i="5"/>
  <c r="E400" i="5"/>
  <c r="E416" i="5"/>
  <c r="E432" i="5"/>
  <c r="E448" i="5"/>
  <c r="E464" i="5"/>
  <c r="E485" i="5"/>
  <c r="E503" i="5"/>
  <c r="E526" i="5"/>
  <c r="E549" i="5"/>
  <c r="E567" i="5"/>
  <c r="E590" i="5"/>
  <c r="E21" i="5"/>
  <c r="E37" i="5"/>
  <c r="E53" i="5"/>
  <c r="E69" i="5"/>
  <c r="E85" i="5"/>
  <c r="E101" i="5"/>
  <c r="E117" i="5"/>
  <c r="E133" i="5"/>
  <c r="E149" i="5"/>
  <c r="E165" i="5"/>
  <c r="E181" i="5"/>
  <c r="E197" i="5"/>
  <c r="E213" i="5"/>
  <c r="E229" i="5"/>
  <c r="E245" i="5"/>
  <c r="E261" i="5"/>
  <c r="E277" i="5"/>
  <c r="E293" i="5"/>
  <c r="E309" i="5"/>
  <c r="E325" i="5"/>
  <c r="E341" i="5"/>
  <c r="E357" i="5"/>
  <c r="E373" i="5"/>
  <c r="E389" i="5"/>
  <c r="E405" i="5"/>
  <c r="E421" i="5"/>
  <c r="E437" i="5"/>
  <c r="E453" i="5"/>
  <c r="E469" i="5"/>
  <c r="E486" i="5"/>
  <c r="E509" i="5"/>
  <c r="E527" i="5"/>
  <c r="E550" i="5"/>
  <c r="E573" i="5"/>
  <c r="E591" i="5"/>
  <c r="E12" i="5"/>
  <c r="E20" i="5"/>
  <c r="E28" i="5"/>
  <c r="E36" i="5"/>
  <c r="E44" i="5"/>
  <c r="E52" i="5"/>
  <c r="E60" i="5"/>
  <c r="E68" i="5"/>
  <c r="E76" i="5"/>
  <c r="E84" i="5"/>
  <c r="E92" i="5"/>
  <c r="E100" i="5"/>
  <c r="E108" i="5"/>
  <c r="E116" i="5"/>
  <c r="E124" i="5"/>
  <c r="E132" i="5"/>
  <c r="E140" i="5"/>
  <c r="E148" i="5"/>
  <c r="E156" i="5"/>
  <c r="E164" i="5"/>
  <c r="E172" i="5"/>
  <c r="E180" i="5"/>
  <c r="E188" i="5"/>
  <c r="E196" i="5"/>
  <c r="E204" i="5"/>
  <c r="E212" i="5"/>
  <c r="E220" i="5"/>
  <c r="E228" i="5"/>
  <c r="E236" i="5"/>
  <c r="E244" i="5"/>
  <c r="E252" i="5"/>
  <c r="E260" i="5"/>
  <c r="E268" i="5"/>
  <c r="E276" i="5"/>
  <c r="E284" i="5"/>
  <c r="E292" i="5"/>
  <c r="E300" i="5"/>
  <c r="E308" i="5"/>
  <c r="E316" i="5"/>
  <c r="E324" i="5"/>
  <c r="E332" i="5"/>
  <c r="E340" i="5"/>
  <c r="E348" i="5"/>
  <c r="E356" i="5"/>
  <c r="E364" i="5"/>
  <c r="E372" i="5"/>
  <c r="E380" i="5"/>
  <c r="E388" i="5"/>
  <c r="E396" i="5"/>
  <c r="E404" i="5"/>
  <c r="E412" i="5"/>
  <c r="E420" i="5"/>
  <c r="E428" i="5"/>
  <c r="E436" i="5"/>
  <c r="E444" i="5"/>
  <c r="E452" i="5"/>
  <c r="E460" i="5"/>
  <c r="E468" i="5"/>
  <c r="E476" i="5"/>
  <c r="E484" i="5"/>
  <c r="E492" i="5"/>
  <c r="E500" i="5"/>
  <c r="E508" i="5"/>
  <c r="E516" i="5"/>
  <c r="E524" i="5"/>
  <c r="E532" i="5"/>
  <c r="E540" i="5"/>
  <c r="E548" i="5"/>
  <c r="E556" i="5"/>
  <c r="E564" i="5"/>
  <c r="E572" i="5"/>
  <c r="E580" i="5"/>
  <c r="E588" i="5"/>
  <c r="E488" i="5"/>
  <c r="E504" i="5"/>
  <c r="E520" i="5"/>
  <c r="E528" i="5"/>
  <c r="E544" i="5"/>
  <c r="E552" i="5"/>
  <c r="E560" i="5"/>
  <c r="E568" i="5"/>
  <c r="E576" i="5"/>
  <c r="E592" i="5"/>
  <c r="E4" i="5"/>
  <c r="E9" i="5"/>
  <c r="E17" i="5"/>
  <c r="E25" i="5"/>
  <c r="E33" i="5"/>
  <c r="E41" i="5"/>
  <c r="E49" i="5"/>
  <c r="E57" i="5"/>
  <c r="E65" i="5"/>
  <c r="E73" i="5"/>
  <c r="E81" i="5"/>
  <c r="E89" i="5"/>
  <c r="E97" i="5"/>
  <c r="E105" i="5"/>
  <c r="E113" i="5"/>
  <c r="E121" i="5"/>
  <c r="E129" i="5"/>
  <c r="E137" i="5"/>
  <c r="E145" i="5"/>
  <c r="E153" i="5"/>
  <c r="E161" i="5"/>
  <c r="E169" i="5"/>
  <c r="E177" i="5"/>
  <c r="E185" i="5"/>
  <c r="E193" i="5"/>
  <c r="E201" i="5"/>
  <c r="E209" i="5"/>
  <c r="E217" i="5"/>
  <c r="E225" i="5"/>
  <c r="E233" i="5"/>
  <c r="E241" i="5"/>
  <c r="E249" i="5"/>
  <c r="E257" i="5"/>
  <c r="E265" i="5"/>
  <c r="E273" i="5"/>
  <c r="E281" i="5"/>
  <c r="E289" i="5"/>
  <c r="E297" i="5"/>
  <c r="E305" i="5"/>
  <c r="E313" i="5"/>
  <c r="E321" i="5"/>
  <c r="E329" i="5"/>
  <c r="E337" i="5"/>
  <c r="E345" i="5"/>
  <c r="E353" i="5"/>
  <c r="E361" i="5"/>
  <c r="E369" i="5"/>
  <c r="E377" i="5"/>
  <c r="E385" i="5"/>
  <c r="E393" i="5"/>
  <c r="E401" i="5"/>
  <c r="E409" i="5"/>
  <c r="E417" i="5"/>
  <c r="E425" i="5"/>
  <c r="E433" i="5"/>
  <c r="E441" i="5"/>
  <c r="E449" i="5"/>
  <c r="E457" i="5"/>
  <c r="E465" i="5"/>
  <c r="E473" i="5"/>
  <c r="E481" i="5"/>
  <c r="E489" i="5"/>
  <c r="E497" i="5"/>
  <c r="E505" i="5"/>
  <c r="E513" i="5"/>
  <c r="E521" i="5"/>
  <c r="E529" i="5"/>
  <c r="E537" i="5"/>
  <c r="E545" i="5"/>
  <c r="E553" i="5"/>
  <c r="E561" i="5"/>
  <c r="E569" i="5"/>
  <c r="E577" i="5"/>
  <c r="E585" i="5"/>
  <c r="E593" i="5"/>
  <c r="E480" i="5"/>
  <c r="E496" i="5"/>
  <c r="E512" i="5"/>
  <c r="E536" i="5"/>
  <c r="E584" i="5"/>
  <c r="E10" i="5"/>
  <c r="E26" i="5"/>
  <c r="E34" i="5"/>
  <c r="E42" i="5"/>
  <c r="E50" i="5"/>
  <c r="E58" i="5"/>
  <c r="E66" i="5"/>
  <c r="E74" i="5"/>
  <c r="E82" i="5"/>
  <c r="E90" i="5"/>
  <c r="E98" i="5"/>
  <c r="E106" i="5"/>
  <c r="E114" i="5"/>
  <c r="E122" i="5"/>
  <c r="E130" i="5"/>
  <c r="E138" i="5"/>
  <c r="E154" i="5"/>
  <c r="E162" i="5"/>
  <c r="E170" i="5"/>
  <c r="E178" i="5"/>
  <c r="E186" i="5"/>
  <c r="E194" i="5"/>
  <c r="E202" i="5"/>
  <c r="E210" i="5"/>
  <c r="E218" i="5"/>
  <c r="E226" i="5"/>
  <c r="E234" i="5"/>
  <c r="E242" i="5"/>
  <c r="E250" i="5"/>
  <c r="E258" i="5"/>
  <c r="E266" i="5"/>
  <c r="E274" i="5"/>
  <c r="E282" i="5"/>
  <c r="E290" i="5"/>
  <c r="E298" i="5"/>
  <c r="E306" i="5"/>
  <c r="E314" i="5"/>
  <c r="E322" i="5"/>
  <c r="E330" i="5"/>
  <c r="E338" i="5"/>
  <c r="E346" i="5"/>
  <c r="E354" i="5"/>
  <c r="E362" i="5"/>
  <c r="E370" i="5"/>
  <c r="E378" i="5"/>
  <c r="E386" i="5"/>
  <c r="E394" i="5"/>
  <c r="E402" i="5"/>
  <c r="E410" i="5"/>
  <c r="E418" i="5"/>
  <c r="E426" i="5"/>
  <c r="E434" i="5"/>
  <c r="E442" i="5"/>
  <c r="E450" i="5"/>
  <c r="E458" i="5"/>
  <c r="E466" i="5"/>
  <c r="E474" i="5"/>
  <c r="E482" i="5"/>
  <c r="E490" i="5"/>
  <c r="E498" i="5"/>
  <c r="E506" i="5"/>
  <c r="E514" i="5"/>
  <c r="E522" i="5"/>
  <c r="E530" i="5"/>
  <c r="E538" i="5"/>
  <c r="E546" i="5"/>
  <c r="E554" i="5"/>
  <c r="E562" i="5"/>
  <c r="E570" i="5"/>
  <c r="E578" i="5"/>
  <c r="E586" i="5"/>
  <c r="E594" i="5"/>
  <c r="E18" i="5"/>
  <c r="E146" i="5"/>
  <c r="E5" i="5"/>
  <c r="E11" i="5"/>
  <c r="E19" i="5"/>
  <c r="E27" i="5"/>
  <c r="E35" i="5"/>
  <c r="E43" i="5"/>
  <c r="E51" i="5"/>
  <c r="E59" i="5"/>
  <c r="E67" i="5"/>
  <c r="E75" i="5"/>
  <c r="E83" i="5"/>
  <c r="E91" i="5"/>
  <c r="E99" i="5"/>
  <c r="E107" i="5"/>
  <c r="E115" i="5"/>
  <c r="E123" i="5"/>
  <c r="E131" i="5"/>
  <c r="E139" i="5"/>
  <c r="E147" i="5"/>
  <c r="E155" i="5"/>
  <c r="E163" i="5"/>
  <c r="E171" i="5"/>
  <c r="E179" i="5"/>
  <c r="E187" i="5"/>
  <c r="E195" i="5"/>
  <c r="E203" i="5"/>
  <c r="E211" i="5"/>
  <c r="E219" i="5"/>
  <c r="E227" i="5"/>
  <c r="E235" i="5"/>
  <c r="E243" i="5"/>
  <c r="E251" i="5"/>
  <c r="E259" i="5"/>
  <c r="E267" i="5"/>
  <c r="E275" i="5"/>
  <c r="E283" i="5"/>
  <c r="E291" i="5"/>
  <c r="E299" i="5"/>
  <c r="E307" i="5"/>
  <c r="E315" i="5"/>
  <c r="E323" i="5"/>
  <c r="E331" i="5"/>
  <c r="E339" i="5"/>
  <c r="E347" i="5"/>
  <c r="E355" i="5"/>
  <c r="E363" i="5"/>
  <c r="E371" i="5"/>
  <c r="E379" i="5"/>
  <c r="E387" i="5"/>
  <c r="E395" i="5"/>
  <c r="E403" i="5"/>
  <c r="E411" i="5"/>
  <c r="E419" i="5"/>
  <c r="E427" i="5"/>
  <c r="E435" i="5"/>
  <c r="E443" i="5"/>
  <c r="E451" i="5"/>
  <c r="E459" i="5"/>
  <c r="E467" i="5"/>
  <c r="E475" i="5"/>
  <c r="E483" i="5"/>
  <c r="E491" i="5"/>
  <c r="E499" i="5"/>
  <c r="E507" i="5"/>
  <c r="E515" i="5"/>
  <c r="E523" i="5"/>
  <c r="E531" i="5"/>
  <c r="E539" i="5"/>
  <c r="E547" i="5"/>
  <c r="E555" i="5"/>
  <c r="E563" i="5"/>
  <c r="E571" i="5"/>
  <c r="E579" i="5"/>
  <c r="E587" i="5"/>
  <c r="N398" i="6" l="1"/>
  <c r="N211" i="6"/>
  <c r="O170" i="6"/>
  <c r="N27" i="6"/>
  <c r="N4" i="6"/>
  <c r="N59" i="6"/>
  <c r="N482" i="6"/>
  <c r="N316" i="6"/>
  <c r="N293" i="6"/>
  <c r="N493" i="6"/>
  <c r="N277" i="6"/>
  <c r="O140" i="6"/>
  <c r="N335" i="6"/>
  <c r="N67" i="6"/>
  <c r="N333" i="6"/>
  <c r="N423" i="6"/>
  <c r="N177" i="6"/>
  <c r="N330" i="6"/>
  <c r="N430" i="6"/>
  <c r="N440" i="6"/>
  <c r="N102" i="6"/>
  <c r="N225" i="6"/>
  <c r="N413" i="6"/>
  <c r="O5" i="6"/>
  <c r="O180" i="6"/>
  <c r="O51" i="6"/>
  <c r="O374" i="6"/>
  <c r="N447" i="6"/>
  <c r="N136" i="6"/>
  <c r="N322" i="6"/>
  <c r="N426" i="6"/>
  <c r="N514" i="6"/>
  <c r="O325" i="6"/>
  <c r="O452" i="6"/>
  <c r="O172" i="6"/>
  <c r="O451" i="6"/>
  <c r="O43" i="6"/>
  <c r="O473" i="6"/>
  <c r="O444" i="6"/>
  <c r="N436" i="6"/>
  <c r="O247" i="6"/>
  <c r="O222" i="6"/>
  <c r="O285" i="6"/>
  <c r="O44" i="6"/>
  <c r="O315" i="6"/>
  <c r="O319" i="6"/>
  <c r="O186" i="6"/>
  <c r="O198" i="6"/>
  <c r="O12" i="6"/>
  <c r="O307" i="6"/>
  <c r="O200" i="6"/>
  <c r="N443" i="6"/>
  <c r="N189" i="6"/>
  <c r="N65" i="6"/>
  <c r="N454" i="6"/>
  <c r="N244" i="6"/>
  <c r="N364" i="6"/>
  <c r="N217" i="6"/>
  <c r="N449" i="6"/>
  <c r="O202" i="6"/>
  <c r="O461" i="6"/>
  <c r="O157" i="6"/>
  <c r="O264" i="6"/>
  <c r="O49" i="6"/>
  <c r="N446" i="6"/>
  <c r="N56" i="6"/>
  <c r="N214" i="6"/>
  <c r="N11" i="6"/>
  <c r="N403" i="6"/>
  <c r="N167" i="6"/>
  <c r="N474" i="6"/>
  <c r="N252" i="6"/>
  <c r="N372" i="6"/>
  <c r="N468" i="6"/>
  <c r="O375" i="6"/>
  <c r="O268" i="6"/>
  <c r="O262" i="6"/>
  <c r="O195" i="6"/>
  <c r="O370" i="6"/>
  <c r="O9" i="6"/>
  <c r="N104" i="6"/>
  <c r="N251" i="6"/>
  <c r="N36" i="6"/>
  <c r="N213" i="6"/>
  <c r="N367" i="6"/>
  <c r="N404" i="6"/>
  <c r="N480" i="6"/>
  <c r="N233" i="6"/>
  <c r="N345" i="6"/>
  <c r="N457" i="6"/>
  <c r="O414" i="6"/>
  <c r="O29" i="6"/>
  <c r="O171" i="6"/>
  <c r="O384" i="6"/>
  <c r="O360" i="6"/>
  <c r="N431" i="6"/>
  <c r="N357" i="6"/>
  <c r="O206" i="6"/>
  <c r="N448" i="6"/>
  <c r="N98" i="6"/>
  <c r="N399" i="6"/>
  <c r="N194" i="6"/>
  <c r="N161" i="6"/>
  <c r="N103" i="6"/>
  <c r="N478" i="6"/>
  <c r="N220" i="6"/>
  <c r="N260" i="6"/>
  <c r="N456" i="6"/>
  <c r="N229" i="6"/>
  <c r="N313" i="6"/>
  <c r="N365" i="6"/>
  <c r="O87" i="6"/>
  <c r="O408" i="6"/>
  <c r="O297" i="6"/>
  <c r="O528" i="6"/>
  <c r="O38" i="6"/>
  <c r="O421" i="6"/>
  <c r="O117" i="6"/>
  <c r="O524" i="6"/>
  <c r="O388" i="6"/>
  <c r="O132" i="6"/>
  <c r="O142" i="6"/>
  <c r="O427" i="6"/>
  <c r="O259" i="6"/>
  <c r="O131" i="6"/>
  <c r="O40" i="6"/>
  <c r="O280" i="6"/>
  <c r="O498" i="6"/>
  <c r="O137" i="6"/>
  <c r="N346" i="6"/>
  <c r="O503" i="6"/>
  <c r="O187" i="6"/>
  <c r="O3" i="6"/>
  <c r="O41" i="6"/>
  <c r="O385" i="6"/>
  <c r="N99" i="6"/>
  <c r="N500" i="6"/>
  <c r="N93" i="6"/>
  <c r="N343" i="6"/>
  <c r="N78" i="6"/>
  <c r="N156" i="6"/>
  <c r="N246" i="6"/>
  <c r="N511" i="6"/>
  <c r="N135" i="6"/>
  <c r="N418" i="6"/>
  <c r="N224" i="6"/>
  <c r="N332" i="6"/>
  <c r="N464" i="6"/>
  <c r="N508" i="6"/>
  <c r="N317" i="6"/>
  <c r="O422" i="6"/>
  <c r="O42" i="6"/>
  <c r="O311" i="6"/>
  <c r="O30" i="6"/>
  <c r="O405" i="6"/>
  <c r="O101" i="6"/>
  <c r="O516" i="6"/>
  <c r="O94" i="6"/>
  <c r="O387" i="6"/>
  <c r="O123" i="6"/>
  <c r="O295" i="6"/>
  <c r="O185" i="6"/>
  <c r="O463" i="6"/>
  <c r="O174" i="6"/>
  <c r="N223" i="6"/>
  <c r="N28" i="6"/>
  <c r="O71" i="6"/>
  <c r="O234" i="6"/>
  <c r="O141" i="6"/>
  <c r="N146" i="6"/>
  <c r="N88" i="6"/>
  <c r="N150" i="6"/>
  <c r="N495" i="6"/>
  <c r="N238" i="6"/>
  <c r="N334" i="6"/>
  <c r="N519" i="6"/>
  <c r="N155" i="6"/>
  <c r="N486" i="6"/>
  <c r="N228" i="6"/>
  <c r="N276" i="6"/>
  <c r="N344" i="6"/>
  <c r="N481" i="6"/>
  <c r="O183" i="6"/>
  <c r="O58" i="6"/>
  <c r="O6" i="6"/>
  <c r="O397" i="6"/>
  <c r="O221" i="6"/>
  <c r="O204" i="6"/>
  <c r="O108" i="6"/>
  <c r="O379" i="6"/>
  <c r="O243" i="6"/>
  <c r="O107" i="6"/>
  <c r="O72" i="6"/>
  <c r="O249" i="6"/>
  <c r="O160" i="6"/>
  <c r="O400" i="6"/>
  <c r="O485" i="6"/>
  <c r="O305" i="6"/>
  <c r="N242" i="6"/>
  <c r="N338" i="6"/>
  <c r="N501" i="6"/>
  <c r="N178" i="6"/>
  <c r="N256" i="6"/>
  <c r="O134" i="6"/>
  <c r="O396" i="6"/>
  <c r="O435" i="6"/>
  <c r="O24" i="6"/>
  <c r="O121" i="6"/>
  <c r="N459" i="6"/>
  <c r="N31" i="6"/>
  <c r="N231" i="6"/>
  <c r="N339" i="6"/>
  <c r="N159" i="6"/>
  <c r="N232" i="6"/>
  <c r="N424" i="6"/>
  <c r="N472" i="6"/>
  <c r="N193" i="6"/>
  <c r="N257" i="6"/>
  <c r="N329" i="6"/>
  <c r="N489" i="6"/>
  <c r="O90" i="6"/>
  <c r="O37" i="6"/>
  <c r="O460" i="6"/>
  <c r="O196" i="6"/>
  <c r="O76" i="6"/>
  <c r="O507" i="6"/>
  <c r="O371" i="6"/>
  <c r="O235" i="6"/>
  <c r="O310" i="6"/>
  <c r="N16" i="6"/>
  <c r="O16" i="6"/>
  <c r="N392" i="6"/>
  <c r="O392" i="6"/>
  <c r="N390" i="6"/>
  <c r="O390" i="6"/>
  <c r="O349" i="6"/>
  <c r="N306" i="6"/>
  <c r="N23" i="6"/>
  <c r="N450" i="6"/>
  <c r="O488" i="6"/>
  <c r="N368" i="6"/>
  <c r="O368" i="6"/>
  <c r="N272" i="6"/>
  <c r="O272" i="6"/>
  <c r="O323" i="6"/>
  <c r="N406" i="6"/>
  <c r="N327" i="6"/>
  <c r="O327" i="6"/>
  <c r="N66" i="6"/>
  <c r="O66" i="6"/>
  <c r="N273" i="6"/>
  <c r="O273" i="6"/>
  <c r="O487" i="6"/>
  <c r="O265" i="6"/>
  <c r="N119" i="6"/>
  <c r="N321" i="6"/>
  <c r="N326" i="6"/>
  <c r="O326" i="6"/>
  <c r="O341" i="6"/>
  <c r="N303" i="6"/>
  <c r="N425" i="6"/>
  <c r="N80" i="6"/>
  <c r="O80" i="6"/>
  <c r="N34" i="6"/>
  <c r="O34" i="6"/>
  <c r="O336" i="6"/>
  <c r="O205" i="6"/>
  <c r="O13" i="6"/>
  <c r="O116" i="6"/>
  <c r="O491" i="6"/>
  <c r="N173" i="6"/>
  <c r="N378" i="6"/>
  <c r="N60" i="6"/>
  <c r="N92" i="6"/>
  <c r="N494" i="6"/>
  <c r="N253" i="6"/>
  <c r="O358" i="6"/>
  <c r="O197" i="6"/>
  <c r="N523" i="6"/>
  <c r="N162" i="6"/>
  <c r="N271" i="6"/>
  <c r="N394" i="6"/>
  <c r="N475" i="6"/>
  <c r="N82" i="6"/>
  <c r="N395" i="6"/>
  <c r="N70" i="6"/>
  <c r="N350" i="6"/>
  <c r="N462" i="6"/>
  <c r="N312" i="6"/>
  <c r="N352" i="6"/>
  <c r="N428" i="6"/>
  <c r="N512" i="6"/>
  <c r="N301" i="6"/>
  <c r="N389" i="6"/>
  <c r="N433" i="6"/>
  <c r="N509" i="6"/>
  <c r="N176" i="6"/>
  <c r="O176" i="6"/>
  <c r="N362" i="6"/>
  <c r="O362" i="6"/>
  <c r="O7" i="6"/>
  <c r="O263" i="6"/>
  <c r="O369" i="6"/>
  <c r="O122" i="6"/>
  <c r="O250" i="6"/>
  <c r="O381" i="6"/>
  <c r="O125" i="6"/>
  <c r="O61" i="6"/>
  <c r="O86" i="6"/>
  <c r="O484" i="6"/>
  <c r="O356" i="6"/>
  <c r="O164" i="6"/>
  <c r="O100" i="6"/>
  <c r="O22" i="6"/>
  <c r="O411" i="6"/>
  <c r="O347" i="6"/>
  <c r="O283" i="6"/>
  <c r="O219" i="6"/>
  <c r="O91" i="6"/>
  <c r="O216" i="6"/>
  <c r="O434" i="6"/>
  <c r="O73" i="6"/>
  <c r="O527" i="6"/>
  <c r="N328" i="6"/>
  <c r="O328" i="6"/>
  <c r="N48" i="6"/>
  <c r="O48" i="6"/>
  <c r="N470" i="6"/>
  <c r="O470" i="6"/>
  <c r="N255" i="6"/>
  <c r="O255" i="6"/>
  <c r="O477" i="6"/>
  <c r="O68" i="6"/>
  <c r="N376" i="6"/>
  <c r="N471" i="6"/>
  <c r="O471" i="6"/>
  <c r="O215" i="6"/>
  <c r="O469" i="6"/>
  <c r="O21" i="6"/>
  <c r="O380" i="6"/>
  <c r="N96" i="6"/>
  <c r="O96" i="6"/>
  <c r="N130" i="6"/>
  <c r="N490" i="6"/>
  <c r="N304" i="6"/>
  <c r="O218" i="6"/>
  <c r="O439" i="6"/>
  <c r="O77" i="6"/>
  <c r="O308" i="6"/>
  <c r="O52" i="6"/>
  <c r="N266" i="6"/>
  <c r="N145" i="6"/>
  <c r="N270" i="6"/>
  <c r="N458" i="6"/>
  <c r="N236" i="6"/>
  <c r="N348" i="6"/>
  <c r="N18" i="6"/>
  <c r="O18" i="6"/>
  <c r="O106" i="6"/>
  <c r="O126" i="6"/>
  <c r="O133" i="6"/>
  <c r="O110" i="6"/>
  <c r="O46" i="6"/>
  <c r="O419" i="6"/>
  <c r="O355" i="6"/>
  <c r="O35" i="6"/>
  <c r="O526" i="6"/>
  <c r="O57" i="6"/>
  <c r="N39" i="6"/>
  <c r="N274" i="6"/>
  <c r="N286" i="6"/>
  <c r="N191" i="6"/>
  <c r="N466" i="6"/>
  <c r="N502" i="6"/>
  <c r="N212" i="6"/>
  <c r="N284" i="6"/>
  <c r="N261" i="6"/>
  <c r="N337" i="6"/>
  <c r="N393" i="6"/>
  <c r="N129" i="6"/>
  <c r="O129" i="6"/>
  <c r="N50" i="6"/>
  <c r="O50" i="6"/>
  <c r="N81" i="6"/>
  <c r="O81" i="6"/>
  <c r="N15" i="6"/>
  <c r="O15" i="6"/>
  <c r="N47" i="6"/>
  <c r="O47" i="6"/>
  <c r="N432" i="6"/>
  <c r="O432" i="6"/>
  <c r="N209" i="6"/>
  <c r="O209" i="6"/>
  <c r="N366" i="6"/>
  <c r="O366" i="6"/>
  <c r="O151" i="6"/>
  <c r="O279" i="6"/>
  <c r="O383" i="6"/>
  <c r="O10" i="6"/>
  <c r="O138" i="6"/>
  <c r="O373" i="6"/>
  <c r="O309" i="6"/>
  <c r="O245" i="6"/>
  <c r="O181" i="6"/>
  <c r="O53" i="6"/>
  <c r="O54" i="6"/>
  <c r="O476" i="6"/>
  <c r="O190" i="6"/>
  <c r="N2" i="6"/>
  <c r="O467" i="6"/>
  <c r="O147" i="6"/>
  <c r="O83" i="6"/>
  <c r="O19" i="6"/>
  <c r="O89" i="6"/>
  <c r="O438" i="6"/>
  <c r="N144" i="6"/>
  <c r="O144" i="6"/>
  <c r="N210" i="6"/>
  <c r="O210" i="6"/>
  <c r="N192" i="6"/>
  <c r="O192" i="6"/>
  <c r="O55" i="6"/>
  <c r="N417" i="6"/>
  <c r="N290" i="6"/>
  <c r="O290" i="6"/>
  <c r="N298" i="6"/>
  <c r="O298" i="6"/>
  <c r="O182" i="6"/>
  <c r="N207" i="6"/>
  <c r="N331" i="6"/>
  <c r="N340" i="6"/>
  <c r="O74" i="6"/>
  <c r="O85" i="6"/>
  <c r="O158" i="6"/>
  <c r="O179" i="6"/>
  <c r="O115" i="6"/>
  <c r="O168" i="6"/>
  <c r="O25" i="6"/>
  <c r="O153" i="6"/>
  <c r="O281" i="6"/>
  <c r="N299" i="6"/>
  <c r="N69" i="6"/>
  <c r="N97" i="6"/>
  <c r="N75" i="6"/>
  <c r="N112" i="6"/>
  <c r="O112" i="6"/>
  <c r="O409" i="6"/>
  <c r="O169" i="6"/>
  <c r="N120" i="6"/>
  <c r="N407" i="6"/>
  <c r="N402" i="6"/>
  <c r="N20" i="6"/>
  <c r="N127" i="6"/>
  <c r="N429" i="6"/>
  <c r="N226" i="6"/>
  <c r="O226" i="6"/>
  <c r="N455" i="6"/>
  <c r="O455" i="6"/>
  <c r="O483" i="6"/>
  <c r="N342" i="6"/>
  <c r="N351" i="6"/>
  <c r="N230" i="6"/>
  <c r="N64" i="6"/>
  <c r="N267" i="6"/>
  <c r="N382" i="6"/>
  <c r="N95" i="6"/>
  <c r="N506" i="6"/>
  <c r="N248" i="6"/>
  <c r="N288" i="6"/>
  <c r="N520" i="6"/>
  <c r="N63" i="6"/>
  <c r="O63" i="6"/>
  <c r="N353" i="6"/>
  <c r="O353" i="6"/>
  <c r="N208" i="6"/>
  <c r="O208" i="6"/>
  <c r="N401" i="6"/>
  <c r="O401" i="6"/>
  <c r="N465" i="6"/>
  <c r="O465" i="6"/>
  <c r="N111" i="6"/>
  <c r="O111" i="6"/>
  <c r="N143" i="6"/>
  <c r="O143" i="6"/>
  <c r="N175" i="6"/>
  <c r="O175" i="6"/>
  <c r="N377" i="6"/>
  <c r="O377" i="6"/>
  <c r="N287" i="6"/>
  <c r="O287" i="6"/>
  <c r="O26" i="6"/>
  <c r="O154" i="6"/>
  <c r="O386" i="6"/>
  <c r="O62" i="6"/>
  <c r="O237" i="6"/>
  <c r="O45" i="6"/>
  <c r="O14" i="6"/>
  <c r="O148" i="6"/>
  <c r="O166" i="6"/>
  <c r="O203" i="6"/>
  <c r="O139" i="6"/>
  <c r="N128" i="6"/>
  <c r="O128" i="6"/>
  <c r="O105" i="6"/>
  <c r="N33" i="6"/>
  <c r="O33" i="6"/>
  <c r="O8" i="6"/>
  <c r="L6" i="5"/>
  <c r="F9" i="4" a="1"/>
  <c r="F9" i="4" s="1"/>
  <c r="G2" i="4"/>
  <c r="K4" i="3"/>
  <c r="K3" i="3"/>
  <c r="D7" i="2"/>
  <c r="B7" i="2"/>
  <c r="B8" i="2"/>
  <c r="D8" i="2"/>
  <c r="C10" i="2" l="1"/>
  <c r="E440" i="3"/>
  <c r="E583" i="3"/>
  <c r="E559" i="3"/>
  <c r="E535" i="3"/>
  <c r="E511" i="3"/>
  <c r="E487" i="3"/>
  <c r="E463" i="3"/>
  <c r="E582" i="3"/>
  <c r="E558" i="3"/>
  <c r="E526" i="3"/>
  <c r="E494" i="3"/>
  <c r="E462" i="3"/>
  <c r="E444" i="3"/>
  <c r="E599" i="3"/>
  <c r="E575" i="3"/>
  <c r="E551" i="3"/>
  <c r="E527" i="3"/>
  <c r="E503" i="3"/>
  <c r="E479" i="3"/>
  <c r="E455" i="3"/>
  <c r="E590" i="3"/>
  <c r="E566" i="3"/>
  <c r="E542" i="3"/>
  <c r="E518" i="3"/>
  <c r="E502" i="3"/>
  <c r="E478" i="3"/>
  <c r="E454" i="3"/>
  <c r="E597" i="3"/>
  <c r="E581" i="3"/>
  <c r="E565" i="3"/>
  <c r="E549" i="3"/>
  <c r="E533" i="3"/>
  <c r="E517" i="3"/>
  <c r="E501" i="3"/>
  <c r="E485" i="3"/>
  <c r="E469" i="3"/>
  <c r="E453" i="3"/>
  <c r="E596" i="3"/>
  <c r="E580" i="3"/>
  <c r="E564" i="3"/>
  <c r="E548" i="3"/>
  <c r="E532" i="3"/>
  <c r="E516" i="3"/>
  <c r="E500" i="3"/>
  <c r="E484" i="3"/>
  <c r="E460" i="3"/>
  <c r="E30" i="3"/>
  <c r="E587" i="3"/>
  <c r="E571" i="3"/>
  <c r="E555" i="3"/>
  <c r="E539" i="3"/>
  <c r="E523" i="3"/>
  <c r="E507" i="3"/>
  <c r="E491" i="3"/>
  <c r="E475" i="3"/>
  <c r="E459" i="3"/>
  <c r="E443" i="3"/>
  <c r="E594" i="3"/>
  <c r="E578" i="3"/>
  <c r="E562" i="3"/>
  <c r="E546" i="3"/>
  <c r="E530" i="3"/>
  <c r="E514" i="3"/>
  <c r="E498" i="3"/>
  <c r="E482" i="3"/>
  <c r="E466" i="3"/>
  <c r="E442" i="3"/>
  <c r="E601" i="3"/>
  <c r="E593" i="3"/>
  <c r="E585" i="3"/>
  <c r="E577" i="3"/>
  <c r="E569" i="3"/>
  <c r="E561" i="3"/>
  <c r="E553" i="3"/>
  <c r="E545" i="3"/>
  <c r="E537" i="3"/>
  <c r="E529" i="3"/>
  <c r="E521" i="3"/>
  <c r="E513" i="3"/>
  <c r="E505" i="3"/>
  <c r="E497" i="3"/>
  <c r="E489" i="3"/>
  <c r="E481" i="3"/>
  <c r="E473" i="3"/>
  <c r="E465" i="3"/>
  <c r="E457" i="3"/>
  <c r="E449" i="3"/>
  <c r="E441" i="3"/>
  <c r="E591" i="3"/>
  <c r="E567" i="3"/>
  <c r="E543" i="3"/>
  <c r="E519" i="3"/>
  <c r="E495" i="3"/>
  <c r="E471" i="3"/>
  <c r="E447" i="3"/>
  <c r="E598" i="3"/>
  <c r="E574" i="3"/>
  <c r="E550" i="3"/>
  <c r="E534" i="3"/>
  <c r="E510" i="3"/>
  <c r="E486" i="3"/>
  <c r="E470" i="3"/>
  <c r="E446" i="3"/>
  <c r="E589" i="3"/>
  <c r="E573" i="3"/>
  <c r="E557" i="3"/>
  <c r="E541" i="3"/>
  <c r="E525" i="3"/>
  <c r="E509" i="3"/>
  <c r="E493" i="3"/>
  <c r="E477" i="3"/>
  <c r="E461" i="3"/>
  <c r="E445" i="3"/>
  <c r="E588" i="3"/>
  <c r="E572" i="3"/>
  <c r="E556" i="3"/>
  <c r="E540" i="3"/>
  <c r="E524" i="3"/>
  <c r="E508" i="3"/>
  <c r="E492" i="3"/>
  <c r="E476" i="3"/>
  <c r="E468" i="3"/>
  <c r="E452" i="3"/>
  <c r="E595" i="3"/>
  <c r="E579" i="3"/>
  <c r="E563" i="3"/>
  <c r="E547" i="3"/>
  <c r="E531" i="3"/>
  <c r="E515" i="3"/>
  <c r="E499" i="3"/>
  <c r="E483" i="3"/>
  <c r="E467" i="3"/>
  <c r="E451" i="3"/>
  <c r="E602" i="3"/>
  <c r="E586" i="3"/>
  <c r="E570" i="3"/>
  <c r="E554" i="3"/>
  <c r="E538" i="3"/>
  <c r="E522" i="3"/>
  <c r="E506" i="3"/>
  <c r="E490" i="3"/>
  <c r="E474" i="3"/>
  <c r="E458" i="3"/>
  <c r="E450" i="3"/>
  <c r="E600" i="3"/>
  <c r="E592" i="3"/>
  <c r="E584" i="3"/>
  <c r="E576" i="3"/>
  <c r="E568" i="3"/>
  <c r="E560" i="3"/>
  <c r="E552" i="3"/>
  <c r="E544" i="3"/>
  <c r="E536" i="3"/>
  <c r="E528" i="3"/>
  <c r="E520" i="3"/>
  <c r="E512" i="3"/>
  <c r="E504" i="3"/>
  <c r="E496" i="3"/>
  <c r="E488" i="3"/>
  <c r="E480" i="3"/>
  <c r="E472" i="3"/>
  <c r="E464" i="3"/>
  <c r="E456" i="3"/>
  <c r="E448" i="3"/>
  <c r="E14" i="3"/>
  <c r="E365" i="3"/>
  <c r="E287" i="3"/>
  <c r="E196" i="3"/>
  <c r="E109" i="3"/>
  <c r="E429" i="3"/>
  <c r="E351" i="3"/>
  <c r="E260" i="3"/>
  <c r="E173" i="3"/>
  <c r="E95" i="3"/>
  <c r="E420" i="3"/>
  <c r="E333" i="3"/>
  <c r="E255" i="3"/>
  <c r="E164" i="3"/>
  <c r="E77" i="3"/>
  <c r="E415" i="3"/>
  <c r="E324" i="3"/>
  <c r="E237" i="3"/>
  <c r="E159" i="3"/>
  <c r="E68" i="3"/>
  <c r="E63" i="3"/>
  <c r="E31" i="3"/>
  <c r="E20" i="3"/>
  <c r="E356" i="3"/>
  <c r="E269" i="3"/>
  <c r="E191" i="3"/>
  <c r="E100" i="3"/>
  <c r="E397" i="3"/>
  <c r="E319" i="3"/>
  <c r="E228" i="3"/>
  <c r="E141" i="3"/>
  <c r="E388" i="3"/>
  <c r="E301" i="3"/>
  <c r="E223" i="3"/>
  <c r="E132" i="3"/>
  <c r="E383" i="3"/>
  <c r="E292" i="3"/>
  <c r="E205" i="3"/>
  <c r="E127" i="3"/>
  <c r="E436" i="3"/>
  <c r="E404" i="3"/>
  <c r="E372" i="3"/>
  <c r="E340" i="3"/>
  <c r="E308" i="3"/>
  <c r="E276" i="3"/>
  <c r="E244" i="3"/>
  <c r="E212" i="3"/>
  <c r="E180" i="3"/>
  <c r="E148" i="3"/>
  <c r="E116" i="3"/>
  <c r="E84" i="3"/>
  <c r="E47" i="3"/>
  <c r="E431" i="3"/>
  <c r="E399" i="3"/>
  <c r="E367" i="3"/>
  <c r="E335" i="3"/>
  <c r="E303" i="3"/>
  <c r="E271" i="3"/>
  <c r="E239" i="3"/>
  <c r="E207" i="3"/>
  <c r="E175" i="3"/>
  <c r="E143" i="3"/>
  <c r="E111" i="3"/>
  <c r="E79" i="3"/>
  <c r="E46" i="3"/>
  <c r="E430" i="3"/>
  <c r="E398" i="3"/>
  <c r="E366" i="3"/>
  <c r="E334" i="3"/>
  <c r="E302" i="3"/>
  <c r="E270" i="3"/>
  <c r="E238" i="3"/>
  <c r="E206" i="3"/>
  <c r="E174" i="3"/>
  <c r="E142" i="3"/>
  <c r="E110" i="3"/>
  <c r="E78" i="3"/>
  <c r="E36" i="3"/>
  <c r="E414" i="3"/>
  <c r="E382" i="3"/>
  <c r="E350" i="3"/>
  <c r="E318" i="3"/>
  <c r="E286" i="3"/>
  <c r="E254" i="3"/>
  <c r="E222" i="3"/>
  <c r="E190" i="3"/>
  <c r="E158" i="3"/>
  <c r="E126" i="3"/>
  <c r="E94" i="3"/>
  <c r="E62" i="3"/>
  <c r="E15" i="3"/>
  <c r="E18" i="3"/>
  <c r="E413" i="3"/>
  <c r="E381" i="3"/>
  <c r="E349" i="3"/>
  <c r="E317" i="3"/>
  <c r="E285" i="3"/>
  <c r="E253" i="3"/>
  <c r="E221" i="3"/>
  <c r="E189" i="3"/>
  <c r="E157" i="3"/>
  <c r="E125" i="3"/>
  <c r="E93" i="3"/>
  <c r="E52" i="3"/>
  <c r="E61" i="3"/>
  <c r="E45" i="3"/>
  <c r="E29" i="3"/>
  <c r="E13" i="3"/>
  <c r="E439" i="3"/>
  <c r="E423" i="3"/>
  <c r="E407" i="3"/>
  <c r="E391" i="3"/>
  <c r="E375" i="3"/>
  <c r="E359" i="3"/>
  <c r="E343" i="3"/>
  <c r="E327" i="3"/>
  <c r="E311" i="3"/>
  <c r="E295" i="3"/>
  <c r="E279" i="3"/>
  <c r="E263" i="3"/>
  <c r="E247" i="3"/>
  <c r="E231" i="3"/>
  <c r="E215" i="3"/>
  <c r="E199" i="3"/>
  <c r="E183" i="3"/>
  <c r="E167" i="3"/>
  <c r="E151" i="3"/>
  <c r="E135" i="3"/>
  <c r="E119" i="3"/>
  <c r="E103" i="3"/>
  <c r="E87" i="3"/>
  <c r="E71" i="3"/>
  <c r="E55" i="3"/>
  <c r="E39" i="3"/>
  <c r="E23" i="3"/>
  <c r="E438" i="3"/>
  <c r="E422" i="3"/>
  <c r="E406" i="3"/>
  <c r="E390" i="3"/>
  <c r="E374" i="3"/>
  <c r="E358" i="3"/>
  <c r="E342" i="3"/>
  <c r="E326" i="3"/>
  <c r="E310" i="3"/>
  <c r="E294" i="3"/>
  <c r="E278" i="3"/>
  <c r="E262" i="3"/>
  <c r="E246" i="3"/>
  <c r="E230" i="3"/>
  <c r="E214" i="3"/>
  <c r="E198" i="3"/>
  <c r="E182" i="3"/>
  <c r="E166" i="3"/>
  <c r="E150" i="3"/>
  <c r="E134" i="3"/>
  <c r="E118" i="3"/>
  <c r="E102" i="3"/>
  <c r="E86" i="3"/>
  <c r="E70" i="3"/>
  <c r="E54" i="3"/>
  <c r="E38" i="3"/>
  <c r="E22" i="3"/>
  <c r="E437" i="3"/>
  <c r="E421" i="3"/>
  <c r="E405" i="3"/>
  <c r="E389" i="3"/>
  <c r="E373" i="3"/>
  <c r="E357" i="3"/>
  <c r="E341" i="3"/>
  <c r="E325" i="3"/>
  <c r="E309" i="3"/>
  <c r="E293" i="3"/>
  <c r="E277" i="3"/>
  <c r="E261" i="3"/>
  <c r="E245" i="3"/>
  <c r="E229" i="3"/>
  <c r="E213" i="3"/>
  <c r="E197" i="3"/>
  <c r="E181" i="3"/>
  <c r="E165" i="3"/>
  <c r="E149" i="3"/>
  <c r="E133" i="3"/>
  <c r="E117" i="3"/>
  <c r="E101" i="3"/>
  <c r="E85" i="3"/>
  <c r="E69" i="3"/>
  <c r="E53" i="3"/>
  <c r="E37" i="3"/>
  <c r="E21" i="3"/>
  <c r="E428" i="3"/>
  <c r="E412" i="3"/>
  <c r="E396" i="3"/>
  <c r="E380" i="3"/>
  <c r="E364" i="3"/>
  <c r="E348" i="3"/>
  <c r="E332" i="3"/>
  <c r="E316" i="3"/>
  <c r="E300" i="3"/>
  <c r="E284" i="3"/>
  <c r="E268" i="3"/>
  <c r="E252" i="3"/>
  <c r="E236" i="3"/>
  <c r="E220" i="3"/>
  <c r="E204" i="3"/>
  <c r="E188" i="3"/>
  <c r="E172" i="3"/>
  <c r="E156" i="3"/>
  <c r="E140" i="3"/>
  <c r="E124" i="3"/>
  <c r="E108" i="3"/>
  <c r="E92" i="3"/>
  <c r="E76" i="3"/>
  <c r="E60" i="3"/>
  <c r="E44" i="3"/>
  <c r="E28" i="3"/>
  <c r="E12" i="3"/>
  <c r="E433" i="3"/>
  <c r="E425" i="3"/>
  <c r="E417" i="3"/>
  <c r="E409" i="3"/>
  <c r="E401" i="3"/>
  <c r="E393" i="3"/>
  <c r="E385" i="3"/>
  <c r="E377" i="3"/>
  <c r="E369" i="3"/>
  <c r="E361" i="3"/>
  <c r="E353" i="3"/>
  <c r="E345" i="3"/>
  <c r="E337" i="3"/>
  <c r="E329" i="3"/>
  <c r="E321" i="3"/>
  <c r="E313" i="3"/>
  <c r="E305" i="3"/>
  <c r="E297" i="3"/>
  <c r="E289" i="3"/>
  <c r="E281" i="3"/>
  <c r="E273" i="3"/>
  <c r="E265" i="3"/>
  <c r="E257" i="3"/>
  <c r="E249" i="3"/>
  <c r="E241" i="3"/>
  <c r="E233" i="3"/>
  <c r="E225" i="3"/>
  <c r="E217" i="3"/>
  <c r="E209" i="3"/>
  <c r="E201" i="3"/>
  <c r="E193" i="3"/>
  <c r="E185" i="3"/>
  <c r="E177" i="3"/>
  <c r="E169" i="3"/>
  <c r="E161" i="3"/>
  <c r="E153" i="3"/>
  <c r="E145" i="3"/>
  <c r="E137" i="3"/>
  <c r="E129" i="3"/>
  <c r="E121" i="3"/>
  <c r="E113" i="3"/>
  <c r="E105" i="3"/>
  <c r="E97" i="3"/>
  <c r="E89" i="3"/>
  <c r="E81" i="3"/>
  <c r="E73" i="3"/>
  <c r="E65" i="3"/>
  <c r="E57" i="3"/>
  <c r="E49" i="3"/>
  <c r="E41" i="3"/>
  <c r="E33" i="3"/>
  <c r="E25" i="3"/>
  <c r="E17" i="3"/>
  <c r="E432" i="3"/>
  <c r="E424" i="3"/>
  <c r="E416" i="3"/>
  <c r="E408" i="3"/>
  <c r="E400" i="3"/>
  <c r="E392" i="3"/>
  <c r="E384" i="3"/>
  <c r="E376" i="3"/>
  <c r="E368" i="3"/>
  <c r="E360" i="3"/>
  <c r="E352" i="3"/>
  <c r="E344" i="3"/>
  <c r="E336" i="3"/>
  <c r="E328" i="3"/>
  <c r="E320" i="3"/>
  <c r="E312" i="3"/>
  <c r="E304" i="3"/>
  <c r="E296" i="3"/>
  <c r="E288" i="3"/>
  <c r="E280" i="3"/>
  <c r="E272" i="3"/>
  <c r="E264" i="3"/>
  <c r="E256" i="3"/>
  <c r="E248" i="3"/>
  <c r="E240" i="3"/>
  <c r="E232" i="3"/>
  <c r="E224" i="3"/>
  <c r="E216" i="3"/>
  <c r="E208" i="3"/>
  <c r="E200" i="3"/>
  <c r="E192" i="3"/>
  <c r="E184" i="3"/>
  <c r="E176" i="3"/>
  <c r="E168" i="3"/>
  <c r="E160" i="3"/>
  <c r="E152" i="3"/>
  <c r="E144" i="3"/>
  <c r="E136" i="3"/>
  <c r="E128" i="3"/>
  <c r="E120" i="3"/>
  <c r="E112" i="3"/>
  <c r="E104" i="3"/>
  <c r="E96" i="3"/>
  <c r="E88" i="3"/>
  <c r="E80" i="3"/>
  <c r="E72" i="3"/>
  <c r="E64" i="3"/>
  <c r="E56" i="3"/>
  <c r="E48" i="3"/>
  <c r="E40" i="3"/>
  <c r="E32" i="3"/>
  <c r="E24" i="3"/>
  <c r="E16" i="3"/>
  <c r="E427" i="3"/>
  <c r="E411" i="3"/>
  <c r="E387" i="3"/>
  <c r="E371" i="3"/>
  <c r="E347" i="3"/>
  <c r="E315" i="3"/>
  <c r="E299" i="3"/>
  <c r="E283" i="3"/>
  <c r="E267" i="3"/>
  <c r="E243" i="3"/>
  <c r="E227" i="3"/>
  <c r="E203" i="3"/>
  <c r="E187" i="3"/>
  <c r="E163" i="3"/>
  <c r="E139" i="3"/>
  <c r="E123" i="3"/>
  <c r="E107" i="3"/>
  <c r="E83" i="3"/>
  <c r="E67" i="3"/>
  <c r="E51" i="3"/>
  <c r="E35" i="3"/>
  <c r="E27" i="3"/>
  <c r="E11" i="3"/>
  <c r="E435" i="3"/>
  <c r="E419" i="3"/>
  <c r="E403" i="3"/>
  <c r="E395" i="3"/>
  <c r="E379" i="3"/>
  <c r="E363" i="3"/>
  <c r="E355" i="3"/>
  <c r="E339" i="3"/>
  <c r="E331" i="3"/>
  <c r="E323" i="3"/>
  <c r="E307" i="3"/>
  <c r="E291" i="3"/>
  <c r="E275" i="3"/>
  <c r="E259" i="3"/>
  <c r="E251" i="3"/>
  <c r="E235" i="3"/>
  <c r="E219" i="3"/>
  <c r="E211" i="3"/>
  <c r="E195" i="3"/>
  <c r="E179" i="3"/>
  <c r="E171" i="3"/>
  <c r="E155" i="3"/>
  <c r="E147" i="3"/>
  <c r="E131" i="3"/>
  <c r="E115" i="3"/>
  <c r="E99" i="3"/>
  <c r="E91" i="3"/>
  <c r="E75" i="3"/>
  <c r="E59" i="3"/>
  <c r="E43" i="3"/>
  <c r="E19" i="3"/>
  <c r="E434" i="3"/>
  <c r="E426" i="3"/>
  <c r="E418" i="3"/>
  <c r="E410" i="3"/>
  <c r="E402" i="3"/>
  <c r="E394" i="3"/>
  <c r="E386" i="3"/>
  <c r="E378" i="3"/>
  <c r="E370" i="3"/>
  <c r="E362" i="3"/>
  <c r="E354" i="3"/>
  <c r="E346" i="3"/>
  <c r="E338" i="3"/>
  <c r="E330" i="3"/>
  <c r="E322" i="3"/>
  <c r="E314" i="3"/>
  <c r="E306" i="3"/>
  <c r="E298" i="3"/>
  <c r="E290" i="3"/>
  <c r="E282" i="3"/>
  <c r="E274" i="3"/>
  <c r="E266" i="3"/>
  <c r="E258" i="3"/>
  <c r="E250" i="3"/>
  <c r="E242" i="3"/>
  <c r="E234" i="3"/>
  <c r="E226" i="3"/>
  <c r="E218" i="3"/>
  <c r="E210" i="3"/>
  <c r="E202" i="3"/>
  <c r="E194" i="3"/>
  <c r="E186" i="3"/>
  <c r="E178" i="3"/>
  <c r="E170" i="3"/>
  <c r="E162" i="3"/>
  <c r="E154" i="3"/>
  <c r="E146" i="3"/>
  <c r="E138" i="3"/>
  <c r="E130" i="3"/>
  <c r="E122" i="3"/>
  <c r="E114" i="3"/>
  <c r="E106" i="3"/>
  <c r="E98" i="3"/>
  <c r="E90" i="3"/>
  <c r="E82" i="3"/>
  <c r="E74" i="3"/>
  <c r="E66" i="3"/>
  <c r="E58" i="3"/>
  <c r="E50" i="3"/>
  <c r="E42" i="3"/>
  <c r="E34" i="3"/>
  <c r="E26" i="3"/>
  <c r="E10" i="3"/>
  <c r="E9" i="3"/>
  <c r="J9" i="3" l="1" a="1"/>
  <c r="J9" i="3" s="1"/>
  <c r="K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<sst xmlns="http://schemas.openxmlformats.org/spreadsheetml/2006/main" count="10847" uniqueCount="2143">
  <si>
    <t>State</t>
  </si>
  <si>
    <t>District</t>
  </si>
  <si>
    <t>Latitude</t>
  </si>
  <si>
    <t>Longitude</t>
  </si>
  <si>
    <t>Andaman and Nicobar</t>
  </si>
  <si>
    <t>Andaman Islands</t>
  </si>
  <si>
    <t>12.382571069235052</t>
  </si>
  <si>
    <t>92.82291050641506</t>
  </si>
  <si>
    <t>Nicobar Islands</t>
  </si>
  <si>
    <t>7.835290749774195</t>
  </si>
  <si>
    <t>93.51160123757859</t>
  </si>
  <si>
    <t>Andhra Pradesh</t>
  </si>
  <si>
    <t>Adilabad</t>
  </si>
  <si>
    <t>19.284513950073435</t>
  </si>
  <si>
    <t>78.81321233480176</t>
  </si>
  <si>
    <t>Anantapur</t>
  </si>
  <si>
    <t>14.312065561843147</t>
  </si>
  <si>
    <t>Chittoor</t>
  </si>
  <si>
    <t>13.331092630676961</t>
  </si>
  <si>
    <t>78.92763898886037</t>
  </si>
  <si>
    <t>Cuddapah</t>
  </si>
  <si>
    <t>14.490289134125629</t>
  </si>
  <si>
    <t>78.69613870967754</t>
  </si>
  <si>
    <t>East Godavari</t>
  </si>
  <si>
    <t>16.782718320784902</t>
  </si>
  <si>
    <t>Guntur</t>
  </si>
  <si>
    <t>15.884925767634849</t>
  </si>
  <si>
    <t>80.58657614107885</t>
  </si>
  <si>
    <t>Hyderabad</t>
  </si>
  <si>
    <t>17.38971555555556</t>
  </si>
  <si>
    <t>78.46668888888888</t>
  </si>
  <si>
    <t>Karimnagar</t>
  </si>
  <si>
    <t>18.515483193277312</t>
  </si>
  <si>
    <t>79.43765428571413</t>
  </si>
  <si>
    <t>Khammam</t>
  </si>
  <si>
    <t>17.683921325051784</t>
  </si>
  <si>
    <t>80.67008643892335</t>
  </si>
  <si>
    <t>Krishna</t>
  </si>
  <si>
    <t>16.143872753151673</t>
  </si>
  <si>
    <t>81.14805061000413</t>
  </si>
  <si>
    <t>Kurnool</t>
  </si>
  <si>
    <t>15.43759715142429</t>
  </si>
  <si>
    <t>77.90086836581717</t>
  </si>
  <si>
    <t>Mahbubnagar</t>
  </si>
  <si>
    <t>16.639546224256293</t>
  </si>
  <si>
    <t>77.98933089244859</t>
  </si>
  <si>
    <t>Medak</t>
  </si>
  <si>
    <t>17.889304978038055</t>
  </si>
  <si>
    <t>78.13778901903379</t>
  </si>
  <si>
    <t>Nalgonda</t>
  </si>
  <si>
    <t>17.113250515463907</t>
  </si>
  <si>
    <t>79.16984453608244</t>
  </si>
  <si>
    <t>Nellore</t>
  </si>
  <si>
    <t>13.894344071421889</t>
  </si>
  <si>
    <t>80.14702671812498</t>
  </si>
  <si>
    <t>Nizamabad</t>
  </si>
  <si>
    <t>18.429485849056604</t>
  </si>
  <si>
    <t>78.07523490566035</t>
  </si>
  <si>
    <t>Prakasam</t>
  </si>
  <si>
    <t>15.489039001601705</t>
  </si>
  <si>
    <t>80.11665790176184</t>
  </si>
  <si>
    <t>Rangareddi</t>
  </si>
  <si>
    <t>17.245235872576178</t>
  </si>
  <si>
    <t>78.05756828254849</t>
  </si>
  <si>
    <t>Srikakulam</t>
  </si>
  <si>
    <t>18.570900998697432</t>
  </si>
  <si>
    <t>84.25874814010675</t>
  </si>
  <si>
    <t>Vishakhapatnam</t>
  </si>
  <si>
    <t>83.01014035778171</t>
  </si>
  <si>
    <t>Vizianagaram</t>
  </si>
  <si>
    <t>18.283296960329718</t>
  </si>
  <si>
    <t>83.45982854198873</t>
  </si>
  <si>
    <t>Warangal</t>
  </si>
  <si>
    <t>18.01752608695651</t>
  </si>
  <si>
    <t>79.87422028985509</t>
  </si>
  <si>
    <t>West Godavari</t>
  </si>
  <si>
    <t>16.63297943925236</t>
  </si>
  <si>
    <t>81.45912990654196</t>
  </si>
  <si>
    <t>Arunachal Pradesh</t>
  </si>
  <si>
    <t>Changlang</t>
  </si>
  <si>
    <t>27.360484793388455</t>
  </si>
  <si>
    <t>96.37552644628106</t>
  </si>
  <si>
    <t>East Kameng</t>
  </si>
  <si>
    <t>27.371194055944056</t>
  </si>
  <si>
    <t>93.04741486013997</t>
  </si>
  <si>
    <t>East Siang</t>
  </si>
  <si>
    <t>28.153823529411756</t>
  </si>
  <si>
    <t>95.06499226006191</t>
  </si>
  <si>
    <t>Kurung Kumey</t>
  </si>
  <si>
    <t>28.048533518005534</t>
  </si>
  <si>
    <t>93.24531994459834</t>
  </si>
  <si>
    <t>Lohit</t>
  </si>
  <si>
    <t>27.946785273972623</t>
  </si>
  <si>
    <t>96.59670770547943</t>
  </si>
  <si>
    <t>Lower Dibang Valley</t>
  </si>
  <si>
    <t>28.32651730103806</t>
  </si>
  <si>
    <t>95.76567335640142</t>
  </si>
  <si>
    <t>Lower Subansiri</t>
  </si>
  <si>
    <t>27.708492972972966</t>
  </si>
  <si>
    <t>93.96226108108112</t>
  </si>
  <si>
    <t>Papum Pare</t>
  </si>
  <si>
    <t>27.273529716981127</t>
  </si>
  <si>
    <t>93.54468183962264</t>
  </si>
  <si>
    <t>Tawang</t>
  </si>
  <si>
    <t>27.680683962264148</t>
  </si>
  <si>
    <t>91.82504245283017</t>
  </si>
  <si>
    <t>Tirap</t>
  </si>
  <si>
    <t>26.94406229508198</t>
  </si>
  <si>
    <t>95.41470327868862</t>
  </si>
  <si>
    <t>Upper Dibang Valley</t>
  </si>
  <si>
    <t>29.01994783653848</t>
  </si>
  <si>
    <t>95.98776394230764</t>
  </si>
  <si>
    <t>Upper Siang</t>
  </si>
  <si>
    <t>95.00155765306124</t>
  </si>
  <si>
    <t>Upper Subansiri</t>
  </si>
  <si>
    <t>28.277196566523585</t>
  </si>
  <si>
    <t>93.89914356223181</t>
  </si>
  <si>
    <t>West Kameng</t>
  </si>
  <si>
    <t>27.46486582278483</t>
  </si>
  <si>
    <t>92.65015750452085</t>
  </si>
  <si>
    <t>West Siang</t>
  </si>
  <si>
    <t>28.106296920289843</t>
  </si>
  <si>
    <t>94.53510344202908</t>
  </si>
  <si>
    <t>Assam</t>
  </si>
  <si>
    <t>Barpeta</t>
  </si>
  <si>
    <t>26.427872264631056</t>
  </si>
  <si>
    <t>90.97912010178115</t>
  </si>
  <si>
    <t>Bongaigaon</t>
  </si>
  <si>
    <t>26.450125219941334</t>
  </si>
  <si>
    <t>Cachar</t>
  </si>
  <si>
    <t>24.815570668693017</t>
  </si>
  <si>
    <t>92.86849650455927</t>
  </si>
  <si>
    <t>Darrang</t>
  </si>
  <si>
    <t>26.58463215962442</t>
  </si>
  <si>
    <t>92.04141338028157</t>
  </si>
  <si>
    <t>Dhemaji</t>
  </si>
  <si>
    <t>27.586533438485816</t>
  </si>
  <si>
    <t>94.71336908517353</t>
  </si>
  <si>
    <t>Dhuburi</t>
  </si>
  <si>
    <t>26.045061484453374</t>
  </si>
  <si>
    <t>89.98500822467393</t>
  </si>
  <si>
    <t>Dibrugarh</t>
  </si>
  <si>
    <t>27.30612284482757</t>
  </si>
  <si>
    <t>Goalpara</t>
  </si>
  <si>
    <t>26.017277777777807</t>
  </si>
  <si>
    <t>90.59869891598912</t>
  </si>
  <si>
    <t>Golaghat</t>
  </si>
  <si>
    <t>26.377219709794485</t>
  </si>
  <si>
    <t>93.82583397823467</t>
  </si>
  <si>
    <t>Hailakandi</t>
  </si>
  <si>
    <t>24.457496089385486</t>
  </si>
  <si>
    <t>92.59154664804475</t>
  </si>
  <si>
    <t>Jorhat</t>
  </si>
  <si>
    <t>26.76244824016563</t>
  </si>
  <si>
    <t>94.30197722567287</t>
  </si>
  <si>
    <t>Kamrup</t>
  </si>
  <si>
    <t>26.170939452054807</t>
  </si>
  <si>
    <t>91.58863273972592</t>
  </si>
  <si>
    <t>Karbi Anglong</t>
  </si>
  <si>
    <t>26.08966454598031</t>
  </si>
  <si>
    <t>93.11536570271831</t>
  </si>
  <si>
    <t>Karimganj</t>
  </si>
  <si>
    <t>24.69660712250711</t>
  </si>
  <si>
    <t>92.36794985754979</t>
  </si>
  <si>
    <t>Kokrajhar</t>
  </si>
  <si>
    <t>26.497246635730868</t>
  </si>
  <si>
    <t>90.13997470997687</t>
  </si>
  <si>
    <t>Lakhimpur</t>
  </si>
  <si>
    <t>27.141288059701495</t>
  </si>
  <si>
    <t>Marigaon</t>
  </si>
  <si>
    <t>26.24650046728974</t>
  </si>
  <si>
    <t>92.21949953271024</t>
  </si>
  <si>
    <t>Nagaon</t>
  </si>
  <si>
    <t>26.26462170626351</t>
  </si>
  <si>
    <t>Nalbari</t>
  </si>
  <si>
    <t>26.46323767605632</t>
  </si>
  <si>
    <t>91.40598521126765</t>
  </si>
  <si>
    <t>North Cachar Hills</t>
  </si>
  <si>
    <t>25.338299853157107</t>
  </si>
  <si>
    <t>92.97740205580035</t>
  </si>
  <si>
    <t>Sibsagar</t>
  </si>
  <si>
    <t>27.02762869565218</t>
  </si>
  <si>
    <t>94.90025847826082</t>
  </si>
  <si>
    <t>Sonitpur</t>
  </si>
  <si>
    <t>26.73514926829268</t>
  </si>
  <si>
    <t>92.85197804878044</t>
  </si>
  <si>
    <t>Tinsukia</t>
  </si>
  <si>
    <t>27.53549291139241</t>
  </si>
  <si>
    <t>95.69055949367085</t>
  </si>
  <si>
    <t>Bihar</t>
  </si>
  <si>
    <t>Araria</t>
  </si>
  <si>
    <t>26.211528119180603</t>
  </si>
  <si>
    <t>87.30766554934816</t>
  </si>
  <si>
    <t>Aurangabad</t>
  </si>
  <si>
    <t>24.774291867469874</t>
  </si>
  <si>
    <t>84.45986024096379</t>
  </si>
  <si>
    <t>Banka</t>
  </si>
  <si>
    <t>24.832355642023337</t>
  </si>
  <si>
    <t>Begusarai</t>
  </si>
  <si>
    <t>25.54302613168723</t>
  </si>
  <si>
    <t>86.12560144032932</t>
  </si>
  <si>
    <t>Bhabua</t>
  </si>
  <si>
    <t>25.02156642599276</t>
  </si>
  <si>
    <t>83.61128104693134</t>
  </si>
  <si>
    <t>Bhagalpur</t>
  </si>
  <si>
    <t>25.277192885375474</t>
  </si>
  <si>
    <t>87.04213814229242</t>
  </si>
  <si>
    <t>Bhojpur</t>
  </si>
  <si>
    <t>25.50666439393939</t>
  </si>
  <si>
    <t>84.49407803030304</t>
  </si>
  <si>
    <t>Buxar</t>
  </si>
  <si>
    <t>25.48593018867924</t>
  </si>
  <si>
    <t>84.08808081760995</t>
  </si>
  <si>
    <t>Darbhanga</t>
  </si>
  <si>
    <t>26.146187719298258</t>
  </si>
  <si>
    <t>85.97387352472099</t>
  </si>
  <si>
    <t>Gaya</t>
  </si>
  <si>
    <t>84.94291217765044</t>
  </si>
  <si>
    <t>Gopalganj</t>
  </si>
  <si>
    <t>26.44874364161851</t>
  </si>
  <si>
    <t>84.34636127167629</t>
  </si>
  <si>
    <t>Jamui</t>
  </si>
  <si>
    <t>24.78418380462726</t>
  </si>
  <si>
    <t>86.26316298200514</t>
  </si>
  <si>
    <t>Jehanabad</t>
  </si>
  <si>
    <t>25.155679045643165</t>
  </si>
  <si>
    <t>Katihar</t>
  </si>
  <si>
    <t>25.56565356037151</t>
  </si>
  <si>
    <t>87.70466083591326</t>
  </si>
  <si>
    <t>Khagaria</t>
  </si>
  <si>
    <t>25.535588914549642</t>
  </si>
  <si>
    <t>86.56593256351037</t>
  </si>
  <si>
    <t>Kishanganj</t>
  </si>
  <si>
    <t>26.324336758321298</t>
  </si>
  <si>
    <t>87.95045007235886</t>
  </si>
  <si>
    <t>Lakhisarai</t>
  </si>
  <si>
    <t>25.183449321266963</t>
  </si>
  <si>
    <t>86.12825701357468</t>
  </si>
  <si>
    <t>Madhepura</t>
  </si>
  <si>
    <t>25.77341929460581</t>
  </si>
  <si>
    <t>Madhubani</t>
  </si>
  <si>
    <t>26.413805381727162</t>
  </si>
  <si>
    <t>86.16328360450552</t>
  </si>
  <si>
    <t>Munger</t>
  </si>
  <si>
    <t>25.198537962962963</t>
  </si>
  <si>
    <t>86.54173672839504</t>
  </si>
  <si>
    <t>Muzaffarpur</t>
  </si>
  <si>
    <t>26.18664417177915</t>
  </si>
  <si>
    <t>85.32745092024543</t>
  </si>
  <si>
    <t>Nalanda</t>
  </si>
  <si>
    <t>25.229345508982053</t>
  </si>
  <si>
    <t>85.48053113772461</t>
  </si>
  <si>
    <t>Nawada</t>
  </si>
  <si>
    <t>24.825708836206903</t>
  </si>
  <si>
    <t>85.61594568965519</t>
  </si>
  <si>
    <t>Pashchim Champaran</t>
  </si>
  <si>
    <t>27.16064352201258</t>
  </si>
  <si>
    <t>84.30265911949685</t>
  </si>
  <si>
    <t>Patna</t>
  </si>
  <si>
    <t>25.40297114503818</t>
  </si>
  <si>
    <t>Purba Champaran</t>
  </si>
  <si>
    <t>26.68129336734693</t>
  </si>
  <si>
    <t>85.00382155612242</t>
  </si>
  <si>
    <t>Purnia</t>
  </si>
  <si>
    <t>25.81714801901739</t>
  </si>
  <si>
    <t>87.40447606973065</t>
  </si>
  <si>
    <t>Rohtas</t>
  </si>
  <si>
    <t>24.99170460829495</t>
  </si>
  <si>
    <t>Saharsa</t>
  </si>
  <si>
    <t>25.821270696721303</t>
  </si>
  <si>
    <t>86.54670819672135</t>
  </si>
  <si>
    <t>Samastipur</t>
  </si>
  <si>
    <t>25.793205563909765</t>
  </si>
  <si>
    <t>85.94833323308269</t>
  </si>
  <si>
    <t>Saran</t>
  </si>
  <si>
    <t>25.89656077844312</t>
  </si>
  <si>
    <t>84.82266287425155</t>
  </si>
  <si>
    <t>Sheikhpura</t>
  </si>
  <si>
    <t>25.12472436548223</t>
  </si>
  <si>
    <t>85.77839390862943</t>
  </si>
  <si>
    <t>Sheohar</t>
  </si>
  <si>
    <t>26.458380748663107</t>
  </si>
  <si>
    <t>85.29539411764709</t>
  </si>
  <si>
    <t>Sitamarhi</t>
  </si>
  <si>
    <t>26.56570069686413</t>
  </si>
  <si>
    <t>85.61172491289203</t>
  </si>
  <si>
    <t>Siwan</t>
  </si>
  <si>
    <t>84.33766552901022</t>
  </si>
  <si>
    <t>Supaul</t>
  </si>
  <si>
    <t>26.28157893772896</t>
  </si>
  <si>
    <t>86.78496465201461</t>
  </si>
  <si>
    <t>Vaishali</t>
  </si>
  <si>
    <t>85.39247597173153</t>
  </si>
  <si>
    <t>Chandigarh</t>
  </si>
  <si>
    <t>76.75872465753424</t>
  </si>
  <si>
    <t>Chhattisgarh</t>
  </si>
  <si>
    <t>Bastar</t>
  </si>
  <si>
    <t>19.393866751269048</t>
  </si>
  <si>
    <t>81.52895126903546</t>
  </si>
  <si>
    <t>Bilaspur</t>
  </si>
  <si>
    <t>22.356942982456143</t>
  </si>
  <si>
    <t>81.99770350877188</t>
  </si>
  <si>
    <t>Dantewada</t>
  </si>
  <si>
    <t>18.653854086538463</t>
  </si>
  <si>
    <t>81.07200120192313</t>
  </si>
  <si>
    <t>Dhamtari</t>
  </si>
  <si>
    <t>20.554912627291245</t>
  </si>
  <si>
    <t>Durg</t>
  </si>
  <si>
    <t>21.194463849287164</t>
  </si>
  <si>
    <t>81.33181639511197</t>
  </si>
  <si>
    <t>Janjgir-Champa</t>
  </si>
  <si>
    <t>21.961093750000025</t>
  </si>
  <si>
    <t>82.80495408653843</t>
  </si>
  <si>
    <t>Jashpur</t>
  </si>
  <si>
    <t>22.772861676646695</t>
  </si>
  <si>
    <t>Kanker</t>
  </si>
  <si>
    <t>20.139461285008245</t>
  </si>
  <si>
    <t>81.06913080724874</t>
  </si>
  <si>
    <t>Kawardha</t>
  </si>
  <si>
    <t>22.048000792079208</t>
  </si>
  <si>
    <t>81.16271188118817</t>
  </si>
  <si>
    <t>Korba</t>
  </si>
  <si>
    <t>22.491712499999995</t>
  </si>
  <si>
    <t>82.57604326923074</t>
  </si>
  <si>
    <t>Koriya</t>
  </si>
  <si>
    <t>23.50412776859501</t>
  </si>
  <si>
    <t>82.12515636363635</t>
  </si>
  <si>
    <t>Mahasamund</t>
  </si>
  <si>
    <t>21.223727037773354</t>
  </si>
  <si>
    <t>82.65925427435384</t>
  </si>
  <si>
    <t>Raigarh</t>
  </si>
  <si>
    <t>22.008265068493166</t>
  </si>
  <si>
    <t>83.27797698630134</t>
  </si>
  <si>
    <t>Raipur</t>
  </si>
  <si>
    <t>20.88603153846152</t>
  </si>
  <si>
    <t>82.20032759615388</t>
  </si>
  <si>
    <t>Raj Nandgaon</t>
  </si>
  <si>
    <t>21.058414734950603</t>
  </si>
  <si>
    <t>80.78526693620836</t>
  </si>
  <si>
    <t>Surguja</t>
  </si>
  <si>
    <t>23.32719278728607</t>
  </si>
  <si>
    <t>83.23582493887531</t>
  </si>
  <si>
    <t>Dadra and Nagar Haveli</t>
  </si>
  <si>
    <t>20.215132170542628</t>
  </si>
  <si>
    <t>73.09454961240311</t>
  </si>
  <si>
    <t>Daman and Diu</t>
  </si>
  <si>
    <t>Daman</t>
  </si>
  <si>
    <t>20.431616666666674</t>
  </si>
  <si>
    <t>Junagadh</t>
  </si>
  <si>
    <t>20.72568199498111</t>
  </si>
  <si>
    <t>70.83985639899612</t>
  </si>
  <si>
    <t>Delhi</t>
  </si>
  <si>
    <t>28.645944298245617</t>
  </si>
  <si>
    <t>77.12804517543859</t>
  </si>
  <si>
    <t>Goa</t>
  </si>
  <si>
    <t>North Goa</t>
  </si>
  <si>
    <t>15.548723418714054</t>
  </si>
  <si>
    <t>73.80667997909038</t>
  </si>
  <si>
    <t>South Goa</t>
  </si>
  <si>
    <t>15.195278658183785</t>
  </si>
  <si>
    <t>Gujarat</t>
  </si>
  <si>
    <t>Ahmadabad</t>
  </si>
  <si>
    <t>22.605425564971746</t>
  </si>
  <si>
    <t>72.23898135593227</t>
  </si>
  <si>
    <t>Amreli</t>
  </si>
  <si>
    <t>21.048326493108718</t>
  </si>
  <si>
    <t>71.43457637825426</t>
  </si>
  <si>
    <t>Anand</t>
  </si>
  <si>
    <t>22.282718206229863</t>
  </si>
  <si>
    <t>72.57782051557454</t>
  </si>
  <si>
    <t>Banas Kantha</t>
  </si>
  <si>
    <t>24.258538965517253</t>
  </si>
  <si>
    <t>71.93205252873561</t>
  </si>
  <si>
    <t>Bharuch</t>
  </si>
  <si>
    <t>21.757872762377612</t>
  </si>
  <si>
    <t>72.67326346710801</t>
  </si>
  <si>
    <t>Bhavnagar</t>
  </si>
  <si>
    <t>21.702193903417356</t>
  </si>
  <si>
    <t>72.16272632761141</t>
  </si>
  <si>
    <t>Dahod</t>
  </si>
  <si>
    <t>22.897992252252234</t>
  </si>
  <si>
    <t>73.99170612612609</t>
  </si>
  <si>
    <t>Gandhinagar</t>
  </si>
  <si>
    <t>23.193679790026255</t>
  </si>
  <si>
    <t>72.67221679790026</t>
  </si>
  <si>
    <t>Jamnagar</t>
  </si>
  <si>
    <t>22.410600414263328</t>
  </si>
  <si>
    <t>69.62062005768233</t>
  </si>
  <si>
    <t>20.929523011609785</t>
  </si>
  <si>
    <t>70.54733890140345</t>
  </si>
  <si>
    <t>Kachchh</t>
  </si>
  <si>
    <t>23.48057203301311</t>
  </si>
  <si>
    <t>68.82192301497916</t>
  </si>
  <si>
    <t>Kheda</t>
  </si>
  <si>
    <t>22.88765312500002</t>
  </si>
  <si>
    <t>Mahesana</t>
  </si>
  <si>
    <t>23.529355452865065</t>
  </si>
  <si>
    <t>72.45545194085031</t>
  </si>
  <si>
    <t>Narmada</t>
  </si>
  <si>
    <t>21.706663862928334</t>
  </si>
  <si>
    <t>73.68403208722742</t>
  </si>
  <si>
    <t>Navsari</t>
  </si>
  <si>
    <t>20.866973318871995</t>
  </si>
  <si>
    <t>72.86184869848157</t>
  </si>
  <si>
    <t>Panch Mahals</t>
  </si>
  <si>
    <t>22.80435606837605</t>
  </si>
  <si>
    <t>73.61984598290586</t>
  </si>
  <si>
    <t>Patan</t>
  </si>
  <si>
    <t>23.80634198473284</t>
  </si>
  <si>
    <t>71.75162977099237</t>
  </si>
  <si>
    <t>Porbandar</t>
  </si>
  <si>
    <t>21.55092351651571</t>
  </si>
  <si>
    <t>69.71896987722886</t>
  </si>
  <si>
    <t>Rajkot</t>
  </si>
  <si>
    <t>22.40603377715488</t>
  </si>
  <si>
    <t>70.83679439383323</t>
  </si>
  <si>
    <t>Sabar Kantha</t>
  </si>
  <si>
    <t>23.718035945485518</t>
  </si>
  <si>
    <t>73.13638790459964</t>
  </si>
  <si>
    <t>Surat</t>
  </si>
  <si>
    <t>21.25761372772093</t>
  </si>
  <si>
    <t>72.93488716344339</t>
  </si>
  <si>
    <t>Surendranagar</t>
  </si>
  <si>
    <t>22.82672007299272</t>
  </si>
  <si>
    <t>71.48358740875906</t>
  </si>
  <si>
    <t>The Dangs</t>
  </si>
  <si>
    <t>20.801633877551026</t>
  </si>
  <si>
    <t>Vadodara</t>
  </si>
  <si>
    <t>22.26133739279589</t>
  </si>
  <si>
    <t>73.49433010291594</t>
  </si>
  <si>
    <t>Valsad</t>
  </si>
  <si>
    <t>20.44238231644259</t>
  </si>
  <si>
    <t>Haryana</t>
  </si>
  <si>
    <t>Ambala</t>
  </si>
  <si>
    <t>30.350367231638398</t>
  </si>
  <si>
    <t>76.94970310734456</t>
  </si>
  <si>
    <t>Bhiwani</t>
  </si>
  <si>
    <t>28.728868064516128</t>
  </si>
  <si>
    <t>76.02110225806452</t>
  </si>
  <si>
    <t>Faridabad</t>
  </si>
  <si>
    <t>28.14873109756098</t>
  </si>
  <si>
    <t>77.32718536585368</t>
  </si>
  <si>
    <t>Fatehabad</t>
  </si>
  <si>
    <t>29.572983185840716</t>
  </si>
  <si>
    <t>75.54608716814157</t>
  </si>
  <si>
    <t>Gurgaon</t>
  </si>
  <si>
    <t>28.043894789579163</t>
  </si>
  <si>
    <t>77.01935130260523</t>
  </si>
  <si>
    <t>Hisar</t>
  </si>
  <si>
    <t>29.23628731117825</t>
  </si>
  <si>
    <t>75.84324682779452</t>
  </si>
  <si>
    <t>Jhajjar</t>
  </si>
  <si>
    <t>28.59651868131869</t>
  </si>
  <si>
    <t>76.61137142857145</t>
  </si>
  <si>
    <t>Jind</t>
  </si>
  <si>
    <t>29.45149821958457</t>
  </si>
  <si>
    <t>76.29598575667653</t>
  </si>
  <si>
    <t>Kaithal</t>
  </si>
  <si>
    <t>29.96068539094649</t>
  </si>
  <si>
    <t>76.37698930041155</t>
  </si>
  <si>
    <t>Karnal</t>
  </si>
  <si>
    <t>29.703200647249204</t>
  </si>
  <si>
    <t>76.87488025889972</t>
  </si>
  <si>
    <t>Kurukshetra</t>
  </si>
  <si>
    <t>30.056526598465478</t>
  </si>
  <si>
    <t>76.78774680306903</t>
  </si>
  <si>
    <t>Mahendragarh</t>
  </si>
  <si>
    <t>76.14018072916659</t>
  </si>
  <si>
    <t>Panchkula</t>
  </si>
  <si>
    <t>30.700897142857134</t>
  </si>
  <si>
    <t>76.97173238095236</t>
  </si>
  <si>
    <t>Panipat</t>
  </si>
  <si>
    <t>29.34352134146342</t>
  </si>
  <si>
    <t>76.92895914634147</t>
  </si>
  <si>
    <t>Rewari</t>
  </si>
  <si>
    <t>28.19164714828897</t>
  </si>
  <si>
    <t>76.55956007604564</t>
  </si>
  <si>
    <t>Rohtak</t>
  </si>
  <si>
    <t>28.892517647058817</t>
  </si>
  <si>
    <t>76.53123235294117</t>
  </si>
  <si>
    <t>Sirsa</t>
  </si>
  <si>
    <t>29.635834463276836</t>
  </si>
  <si>
    <t>74.90970480225988</t>
  </si>
  <si>
    <t>Sonepat</t>
  </si>
  <si>
    <t>29.05805707964603</t>
  </si>
  <si>
    <t>76.85587079646017</t>
  </si>
  <si>
    <t>Yamuna Nagar</t>
  </si>
  <si>
    <t>30.26466182572615</t>
  </si>
  <si>
    <t>77.31652821576763</t>
  </si>
  <si>
    <t>Himachal Pradesh</t>
  </si>
  <si>
    <t>76.65316079295157</t>
  </si>
  <si>
    <t>Chamba</t>
  </si>
  <si>
    <t>32.66741814595661</t>
  </si>
  <si>
    <t>76.39354063116366</t>
  </si>
  <si>
    <t>Hamirpur</t>
  </si>
  <si>
    <t>31.67668481012659</t>
  </si>
  <si>
    <t>76.49767088607594</t>
  </si>
  <si>
    <t>Kangra</t>
  </si>
  <si>
    <t>32.14093603238864</t>
  </si>
  <si>
    <t>76.41205910931173</t>
  </si>
  <si>
    <t>Kinnaur</t>
  </si>
  <si>
    <t>31.606671840659335</t>
  </si>
  <si>
    <t>78.51613736263741</t>
  </si>
  <si>
    <t>Kullu</t>
  </si>
  <si>
    <t>31.909119220779246</t>
  </si>
  <si>
    <t>77.40922649350647</t>
  </si>
  <si>
    <t>Lahul and Spiti</t>
  </si>
  <si>
    <t>32.51717030651338</t>
  </si>
  <si>
    <t>77.62470977011492</t>
  </si>
  <si>
    <t>Mandi</t>
  </si>
  <si>
    <t>31.635805940594054</t>
  </si>
  <si>
    <t>76.96556930693067</t>
  </si>
  <si>
    <t>Shimla</t>
  </si>
  <si>
    <t>31.155725451807253</t>
  </si>
  <si>
    <t>77.62573042168668</t>
  </si>
  <si>
    <t>Sirmaur</t>
  </si>
  <si>
    <t>30.682764453961443</t>
  </si>
  <si>
    <t>77.43184689507493</t>
  </si>
  <si>
    <t>Solan</t>
  </si>
  <si>
    <t>31.038643119266037</t>
  </si>
  <si>
    <t>76.94442140672783</t>
  </si>
  <si>
    <t>Una</t>
  </si>
  <si>
    <t>31.583303883495134</t>
  </si>
  <si>
    <t>76.18353932038836</t>
  </si>
  <si>
    <t>Jammu and Kashmir</t>
  </si>
  <si>
    <t>Anantnag (Kashmir South)</t>
  </si>
  <si>
    <t>33.760272727272735</t>
  </si>
  <si>
    <t>75.30390606060608</t>
  </si>
  <si>
    <t>Bagdam</t>
  </si>
  <si>
    <t>33.93258113207548</t>
  </si>
  <si>
    <t>74.79798113207546</t>
  </si>
  <si>
    <t>Baramula (Kashmir North)</t>
  </si>
  <si>
    <t>34.381253757225416</t>
  </si>
  <si>
    <t>74.76359942196531</t>
  </si>
  <si>
    <t>Doda</t>
  </si>
  <si>
    <t>33.359614675767915</t>
  </si>
  <si>
    <t>76.07163720136518</t>
  </si>
  <si>
    <t>Jammu</t>
  </si>
  <si>
    <t>32.713199095022645</t>
  </si>
  <si>
    <t>Kargil</t>
  </si>
  <si>
    <t>33.565994894894914</t>
  </si>
  <si>
    <t>76.63675315315312</t>
  </si>
  <si>
    <t>Kathua</t>
  </si>
  <si>
    <t>32.51781678321678</t>
  </si>
  <si>
    <t>75.58901398601404</t>
  </si>
  <si>
    <t>Kupwara (Muzaffarabad)</t>
  </si>
  <si>
    <t>34.59923473684211</t>
  </si>
  <si>
    <t>74.21587684210526</t>
  </si>
  <si>
    <t>Ladakh (Leh)</t>
  </si>
  <si>
    <t>33.585792202970296</t>
  </si>
  <si>
    <t>78.30725928217821</t>
  </si>
  <si>
    <t>Pulwama</t>
  </si>
  <si>
    <t>33.88414418604652</t>
  </si>
  <si>
    <t>75.00921860465118</t>
  </si>
  <si>
    <t>Punch</t>
  </si>
  <si>
    <t>33.791241290322574</t>
  </si>
  <si>
    <t>74.29593161290322</t>
  </si>
  <si>
    <t>Rajauri</t>
  </si>
  <si>
    <t>33.27232198581561</t>
  </si>
  <si>
    <t>74.40776879432627</t>
  </si>
  <si>
    <t>Srinagar</t>
  </si>
  <si>
    <t>34.27312898550724</t>
  </si>
  <si>
    <t>75.11021159420288</t>
  </si>
  <si>
    <t>Udhampur</t>
  </si>
  <si>
    <t>33.04770670731707</t>
  </si>
  <si>
    <t>75.15286951219511</t>
  </si>
  <si>
    <t>Jharkhand</t>
  </si>
  <si>
    <t>Bokaro</t>
  </si>
  <si>
    <t>85.98398374125864</t>
  </si>
  <si>
    <t>Chatra</t>
  </si>
  <si>
    <t>24.116199457504532</t>
  </si>
  <si>
    <t>84.93295804701627</t>
  </si>
  <si>
    <t>Deoghar</t>
  </si>
  <si>
    <t>24.330701007556716</t>
  </si>
  <si>
    <t>86.75697632241814</t>
  </si>
  <si>
    <t>Dhanbad</t>
  </si>
  <si>
    <t>23.854509090909097</t>
  </si>
  <si>
    <t>86.40372924901185</t>
  </si>
  <si>
    <t>Dumka</t>
  </si>
  <si>
    <t>24.275006125574265</t>
  </si>
  <si>
    <t>87.27662450229711</t>
  </si>
  <si>
    <t>Garhwa</t>
  </si>
  <si>
    <t>24.082114689265527</t>
  </si>
  <si>
    <t>83.68664265536722</t>
  </si>
  <si>
    <t>Giridih</t>
  </si>
  <si>
    <t>24.30578509874329</t>
  </si>
  <si>
    <t>86.08710915619386</t>
  </si>
  <si>
    <t>Godda</t>
  </si>
  <si>
    <t>24.818899999999996</t>
  </si>
  <si>
    <t>Gumla</t>
  </si>
  <si>
    <t>23.078532948929148</t>
  </si>
  <si>
    <t>84.55056787479396</t>
  </si>
  <si>
    <t>Hazaribag</t>
  </si>
  <si>
    <t>23.943241973969638</t>
  </si>
  <si>
    <t>85.49441312364429</t>
  </si>
  <si>
    <t>Jamtara</t>
  </si>
  <si>
    <t>23.978733180778015</t>
  </si>
  <si>
    <t>86.95325080091534</t>
  </si>
  <si>
    <t>Koderma</t>
  </si>
  <si>
    <t>24.556719434628963</t>
  </si>
  <si>
    <t>Latehar</t>
  </si>
  <si>
    <t>23.72511185840708</t>
  </si>
  <si>
    <t>84.48298743362837</t>
  </si>
  <si>
    <t>Lohardaga</t>
  </si>
  <si>
    <t>23.488796043165483</t>
  </si>
  <si>
    <t>Pakur</t>
  </si>
  <si>
    <t>24.572604280821892</t>
  </si>
  <si>
    <t>87.69691969178076</t>
  </si>
  <si>
    <t>Palamu</t>
  </si>
  <si>
    <t>24.196925968109337</t>
  </si>
  <si>
    <t>84.20310842824594</t>
  </si>
  <si>
    <t>Pashchim Singhbhum</t>
  </si>
  <si>
    <t>22.399408487654313</t>
  </si>
  <si>
    <t>Purba Singhbhum</t>
  </si>
  <si>
    <t>22.59133436293437</t>
  </si>
  <si>
    <t>86.50910135135136</t>
  </si>
  <si>
    <t>Ranchi</t>
  </si>
  <si>
    <t>23.184235061391547</t>
  </si>
  <si>
    <t>85.31781937244203</t>
  </si>
  <si>
    <t>Sahibganj</t>
  </si>
  <si>
    <t>24.93667989690721</t>
  </si>
  <si>
    <t>87.68264097938142</t>
  </si>
  <si>
    <t>Saraikela Kharsawan</t>
  </si>
  <si>
    <t>22.855913921113682</t>
  </si>
  <si>
    <t>85.89614918793507</t>
  </si>
  <si>
    <t>Simdega</t>
  </si>
  <si>
    <t>22.608760391198054</t>
  </si>
  <si>
    <t>84.59193691931536</t>
  </si>
  <si>
    <t>Karnataka</t>
  </si>
  <si>
    <t>Bagalkot</t>
  </si>
  <si>
    <t>16.15860676328503</t>
  </si>
  <si>
    <t>75.64526070853468</t>
  </si>
  <si>
    <t>Bangalore Rural</t>
  </si>
  <si>
    <t>12.936827087794448</t>
  </si>
  <si>
    <t>77.47369314775169</t>
  </si>
  <si>
    <t>Bangalore Urban</t>
  </si>
  <si>
    <t>12.901924930747917</t>
  </si>
  <si>
    <t>77.58685595567866</t>
  </si>
  <si>
    <t>Belgaum</t>
  </si>
  <si>
    <t>16.16107219152853</t>
  </si>
  <si>
    <t>74.72329042357275</t>
  </si>
  <si>
    <t>Bellary</t>
  </si>
  <si>
    <t>15.074377548209377</t>
  </si>
  <si>
    <t>76.47228471074374</t>
  </si>
  <si>
    <t>Bidar</t>
  </si>
  <si>
    <t>17.950361730769224</t>
  </si>
  <si>
    <t>77.19459961538459</t>
  </si>
  <si>
    <t>Bijapur</t>
  </si>
  <si>
    <t>16.84015316666667</t>
  </si>
  <si>
    <t>75.95909166666665</t>
  </si>
  <si>
    <t>Chamrajnagar</t>
  </si>
  <si>
    <t>11.952479999999998</t>
  </si>
  <si>
    <t>77.02384959999996</t>
  </si>
  <si>
    <t>Chikmagalur</t>
  </si>
  <si>
    <t>13.425288289676422</t>
  </si>
  <si>
    <t>75.67626502311249</t>
  </si>
  <si>
    <t>Chitradurga</t>
  </si>
  <si>
    <t>14.29102220394736</t>
  </si>
  <si>
    <t>76.57821957236843</t>
  </si>
  <si>
    <t>Dakshin Kannad</t>
  </si>
  <si>
    <t>12.891204548174732</t>
  </si>
  <si>
    <t>74.96216277678026</t>
  </si>
  <si>
    <t>Davanagere</t>
  </si>
  <si>
    <t>14.330414586709884</t>
  </si>
  <si>
    <t>75.91723841166937</t>
  </si>
  <si>
    <t>Dharwad</t>
  </si>
  <si>
    <t>15.343831376975173</t>
  </si>
  <si>
    <t>75.13831264108359</t>
  </si>
  <si>
    <t>Gadag</t>
  </si>
  <si>
    <t>15.507128256880746</t>
  </si>
  <si>
    <t>75.64861302752298</t>
  </si>
  <si>
    <t>Gulbarga</t>
  </si>
  <si>
    <t>17.070459515951594</t>
  </si>
  <si>
    <t>76.87503850385033</t>
  </si>
  <si>
    <t>Hassan</t>
  </si>
  <si>
    <t>12.945098749999998</t>
  </si>
  <si>
    <t>76.11049549999997</t>
  </si>
  <si>
    <t>Haveri</t>
  </si>
  <si>
    <t>14.737582809224318</t>
  </si>
  <si>
    <t>Kodagu</t>
  </si>
  <si>
    <t>12.39684468085106</t>
  </si>
  <si>
    <t>75.79336595744688</t>
  </si>
  <si>
    <t>Kolar</t>
  </si>
  <si>
    <t>13.312799881235172</t>
  </si>
  <si>
    <t>78.01376947743476</t>
  </si>
  <si>
    <t>Koppal</t>
  </si>
  <si>
    <t>15.651253271028034</t>
  </si>
  <si>
    <t>Mandya</t>
  </si>
  <si>
    <t>12.574901806239744</t>
  </si>
  <si>
    <t>76.81570098522172</t>
  </si>
  <si>
    <t>Mysore</t>
  </si>
  <si>
    <t>12.248100259403367</t>
  </si>
  <si>
    <t>76.52881802853437</t>
  </si>
  <si>
    <t>Raichur</t>
  </si>
  <si>
    <t>16.050795353982295</t>
  </si>
  <si>
    <t>76.87368606194688</t>
  </si>
  <si>
    <t>Shimoga</t>
  </si>
  <si>
    <t>14.063845885634592</t>
  </si>
  <si>
    <t>75.17882078103197</t>
  </si>
  <si>
    <t>Tumkur</t>
  </si>
  <si>
    <t>13.592467760074971</t>
  </si>
  <si>
    <t>77.02297966260545</t>
  </si>
  <si>
    <t>Udupi</t>
  </si>
  <si>
    <t>13.450404228534568</t>
  </si>
  <si>
    <t>74.72009990316337</t>
  </si>
  <si>
    <t>Uttar Kannand</t>
  </si>
  <si>
    <t>14.538957976244202</t>
  </si>
  <si>
    <t>74.35229081341113</t>
  </si>
  <si>
    <t>Kerala</t>
  </si>
  <si>
    <t>Alappuzha</t>
  </si>
  <si>
    <t>9.542602965599087</t>
  </si>
  <si>
    <t>76.38010796263319</t>
  </si>
  <si>
    <t>Ernakulam</t>
  </si>
  <si>
    <t>10.004879301987431</t>
  </si>
  <si>
    <t>76.26957729035381</t>
  </si>
  <si>
    <t>Idukki</t>
  </si>
  <si>
    <t>77.04586641566264</t>
  </si>
  <si>
    <t>Kannur</t>
  </si>
  <si>
    <t>11.941523076923055</t>
  </si>
  <si>
    <t>75.35209891725934</t>
  </si>
  <si>
    <t>Kasaragod</t>
  </si>
  <si>
    <t>12.333103099129739</t>
  </si>
  <si>
    <t>75.07768497134369</t>
  </si>
  <si>
    <t>Kollam</t>
  </si>
  <si>
    <t>8.929388820570157</t>
  </si>
  <si>
    <t>Kottayam</t>
  </si>
  <si>
    <t>9.643701174068417</t>
  </si>
  <si>
    <t>76.46059673302705</t>
  </si>
  <si>
    <t>Kozhikode</t>
  </si>
  <si>
    <t>11.392924270557026</t>
  </si>
  <si>
    <t>75.71158720159153</t>
  </si>
  <si>
    <t>Malappuram</t>
  </si>
  <si>
    <t>10.973298756660721</t>
  </si>
  <si>
    <t>75.93910775606876</t>
  </si>
  <si>
    <t>Palakkad</t>
  </si>
  <si>
    <t>10.784926903553291</t>
  </si>
  <si>
    <t>76.49980490693744</t>
  </si>
  <si>
    <t>Pattanamtitta</t>
  </si>
  <si>
    <t>9.291312393162405</t>
  </si>
  <si>
    <t>76.86412329059833</t>
  </si>
  <si>
    <t>Thiruvananthapuram</t>
  </si>
  <si>
    <t>8.537101759082221</t>
  </si>
  <si>
    <t>76.88711502868073</t>
  </si>
  <si>
    <t>Thrissur</t>
  </si>
  <si>
    <t>10.458932647907687</t>
  </si>
  <si>
    <t>76.12321940836945</t>
  </si>
  <si>
    <t>Wayanad</t>
  </si>
  <si>
    <t>11.715277464788736</t>
  </si>
  <si>
    <t>76.07587007042254</t>
  </si>
  <si>
    <t>Lakshadweep</t>
  </si>
  <si>
    <t>Kavaratti</t>
  </si>
  <si>
    <t>10.436390526601542</t>
  </si>
  <si>
    <t>72.82992744299675</t>
  </si>
  <si>
    <t>Madhya Pradesh</t>
  </si>
  <si>
    <t>Anuppur</t>
  </si>
  <si>
    <t>23.18184220430107</t>
  </si>
  <si>
    <t>81.86560000000007</t>
  </si>
  <si>
    <t>Ashoknagar</t>
  </si>
  <si>
    <t>24.630988461538454</t>
  </si>
  <si>
    <t>77.82974493927134</t>
  </si>
  <si>
    <t>Balaghat</t>
  </si>
  <si>
    <t>21.80020720640569</t>
  </si>
  <si>
    <t>80.42170053380796</t>
  </si>
  <si>
    <t>Barwani</t>
  </si>
  <si>
    <t>21.702135714285724</t>
  </si>
  <si>
    <t>74.91004719710673</t>
  </si>
  <si>
    <t>Betul</t>
  </si>
  <si>
    <t>21.964626315789474</t>
  </si>
  <si>
    <t>Bhind</t>
  </si>
  <si>
    <t>26.35951126187245</t>
  </si>
  <si>
    <t>Bhopal</t>
  </si>
  <si>
    <t>23.480726143790854</t>
  </si>
  <si>
    <t>77.39246623093679</t>
  </si>
  <si>
    <t>Burhanpur</t>
  </si>
  <si>
    <t>21.364567254408062</t>
  </si>
  <si>
    <t>76.24460478589425</t>
  </si>
  <si>
    <t>Chhatarpur</t>
  </si>
  <si>
    <t>24.813637376460004</t>
  </si>
  <si>
    <t>79.56449299191374</t>
  </si>
  <si>
    <t>Chhindwara</t>
  </si>
  <si>
    <t>22.227966971713826</t>
  </si>
  <si>
    <t>78.76413136439254</t>
  </si>
  <si>
    <t>Damoh</t>
  </si>
  <si>
    <t>23.76624407960196</t>
  </si>
  <si>
    <t>79.47049303482588</t>
  </si>
  <si>
    <t>Datia</t>
  </si>
  <si>
    <t>25.90226439560441</t>
  </si>
  <si>
    <t>78.63916571428574</t>
  </si>
  <si>
    <t>Dewas</t>
  </si>
  <si>
    <t>76.46088805970157</t>
  </si>
  <si>
    <t>Dhar</t>
  </si>
  <si>
    <t>22.572681718963153</t>
  </si>
  <si>
    <t>Dindori</t>
  </si>
  <si>
    <t>22.837384370477572</t>
  </si>
  <si>
    <t>81.04332966714911</t>
  </si>
  <si>
    <t>East Nimar</t>
  </si>
  <si>
    <t>22.098985600706694</t>
  </si>
  <si>
    <t>76.55805503533558</t>
  </si>
  <si>
    <t>Guna</t>
  </si>
  <si>
    <t>24.49043927178156</t>
  </si>
  <si>
    <t>Gwalior</t>
  </si>
  <si>
    <t>26.040744419642852</t>
  </si>
  <si>
    <t>78.12782433035713</t>
  </si>
  <si>
    <t>Harda</t>
  </si>
  <si>
    <t>22.227659781121783</t>
  </si>
  <si>
    <t>77.07022571819435</t>
  </si>
  <si>
    <t>Hoshangabad</t>
  </si>
  <si>
    <t>22.595268801996706</t>
  </si>
  <si>
    <t>78.02168094841929</t>
  </si>
  <si>
    <t>Indore</t>
  </si>
  <si>
    <t>22.680265752128648</t>
  </si>
  <si>
    <t>Jabalpur</t>
  </si>
  <si>
    <t>23.18525572327043</t>
  </si>
  <si>
    <t>79.98328754716981</t>
  </si>
  <si>
    <t>Jhabua</t>
  </si>
  <si>
    <t>22.419578015397768</t>
  </si>
  <si>
    <t>74.40921616766468</t>
  </si>
  <si>
    <t>Katni</t>
  </si>
  <si>
    <t>23.724416229116937</t>
  </si>
  <si>
    <t>80.33819665871127</t>
  </si>
  <si>
    <t>Mandla</t>
  </si>
  <si>
    <t>22.703487124463532</t>
  </si>
  <si>
    <t>80.38600543633753</t>
  </si>
  <si>
    <t>Mandsaur</t>
  </si>
  <si>
    <t>24.19278764044944</t>
  </si>
  <si>
    <t>75.43588667736759</t>
  </si>
  <si>
    <t>Morena</t>
  </si>
  <si>
    <t>26.373135045317238</t>
  </si>
  <si>
    <t>77.88447341389724</t>
  </si>
  <si>
    <t>Narsinghpur</t>
  </si>
  <si>
    <t>22.951344683026594</t>
  </si>
  <si>
    <t>Neemuch</t>
  </si>
  <si>
    <t>24.703118933333357</t>
  </si>
  <si>
    <t>75.06608186666664</t>
  </si>
  <si>
    <t>Panna</t>
  </si>
  <si>
    <t>24.451325840092657</t>
  </si>
  <si>
    <t>80.21133001158752</t>
  </si>
  <si>
    <t>Raisen</t>
  </si>
  <si>
    <t>23.292518206521724</t>
  </si>
  <si>
    <t>78.16305495923909</t>
  </si>
  <si>
    <t>Rajgarh</t>
  </si>
  <si>
    <t>23.785499026425583</t>
  </si>
  <si>
    <t>76.66431223922116</t>
  </si>
  <si>
    <t>Ratlam</t>
  </si>
  <si>
    <t>23.503562290502792</t>
  </si>
  <si>
    <t>75.14895782122909</t>
  </si>
  <si>
    <t>Rewa</t>
  </si>
  <si>
    <t>24.861184625158856</t>
  </si>
  <si>
    <t>81.57572465057183</t>
  </si>
  <si>
    <t>Sagar</t>
  </si>
  <si>
    <t>23.800318709677374</t>
  </si>
  <si>
    <t>78.71940357771273</t>
  </si>
  <si>
    <t>Satna</t>
  </si>
  <si>
    <t>24.62777621776502</t>
  </si>
  <si>
    <t>80.75547048710598</t>
  </si>
  <si>
    <t>Sehore</t>
  </si>
  <si>
    <t>22.929719967965802</t>
  </si>
  <si>
    <t>77.06780202883085</t>
  </si>
  <si>
    <t>Seoni</t>
  </si>
  <si>
    <t>22.33230487804874</t>
  </si>
  <si>
    <t>79.66053863928111</t>
  </si>
  <si>
    <t>Shahdol</t>
  </si>
  <si>
    <t>23.44859864559819</t>
  </si>
  <si>
    <t>Shajapur</t>
  </si>
  <si>
    <t>23.566620317220547</t>
  </si>
  <si>
    <t>76.33555181268885</t>
  </si>
  <si>
    <t>Sheopur</t>
  </si>
  <si>
    <t>25.78014810996563</t>
  </si>
  <si>
    <t>77.16911116838484</t>
  </si>
  <si>
    <t>Shivpuri</t>
  </si>
  <si>
    <t>25.37802451874367</t>
  </si>
  <si>
    <t>77.74861600810549</t>
  </si>
  <si>
    <t>Sidhi</t>
  </si>
  <si>
    <t>24.175471899529054</t>
  </si>
  <si>
    <t>Tikamgarh</t>
  </si>
  <si>
    <t>25.14099852104666</t>
  </si>
  <si>
    <t>78.89357064846428</t>
  </si>
  <si>
    <t>Ujjain</t>
  </si>
  <si>
    <t>23.319288862745065</t>
  </si>
  <si>
    <t>75.80383717647058</t>
  </si>
  <si>
    <t>Umaria</t>
  </si>
  <si>
    <t>23.59601063063061</t>
  </si>
  <si>
    <t>80.90879477477475</t>
  </si>
  <si>
    <t>Vidisha</t>
  </si>
  <si>
    <t>23.828383079847917</t>
  </si>
  <si>
    <t>West Nimar</t>
  </si>
  <si>
    <t>22.027140000000017</t>
  </si>
  <si>
    <t>75.87343742489269</t>
  </si>
  <si>
    <t>Maharashtra</t>
  </si>
  <si>
    <t>Ahmednagar</t>
  </si>
  <si>
    <t>19.21759903201788</t>
  </si>
  <si>
    <t>74.69220260610572</t>
  </si>
  <si>
    <t>Akola</t>
  </si>
  <si>
    <t>20.746310479041906</t>
  </si>
  <si>
    <t>77.12122320359276</t>
  </si>
  <si>
    <t>Amravati</t>
  </si>
  <si>
    <t>21.165209918107358</t>
  </si>
  <si>
    <t>77.67583503184723</t>
  </si>
  <si>
    <t>20.097922883295197</t>
  </si>
  <si>
    <t>75.32072196796334</t>
  </si>
  <si>
    <t>Bhandara</t>
  </si>
  <si>
    <t>21.211792649727748</t>
  </si>
  <si>
    <t>80.10950199637024</t>
  </si>
  <si>
    <t>Bid</t>
  </si>
  <si>
    <t>18.952353340080986</t>
  </si>
  <si>
    <t>75.69319706477731</t>
  </si>
  <si>
    <t>Buldana</t>
  </si>
  <si>
    <t>20.56680611183355</t>
  </si>
  <si>
    <t>76.39017880364096</t>
  </si>
  <si>
    <t>Chandrapur</t>
  </si>
  <si>
    <t>20.095609090909075</t>
  </si>
  <si>
    <t>79.31556380471388</t>
  </si>
  <si>
    <t>Dhule</t>
  </si>
  <si>
    <t>21.274018690400514</t>
  </si>
  <si>
    <t>74.58719071837263</t>
  </si>
  <si>
    <t>Garhchiroli</t>
  </si>
  <si>
    <t>19.795546096654277</t>
  </si>
  <si>
    <t>80.30965563816602</t>
  </si>
  <si>
    <t>Gondiya</t>
  </si>
  <si>
    <t>21.225008411214993</t>
  </si>
  <si>
    <t>80.17522698598128</t>
  </si>
  <si>
    <t>Greater Bombay</t>
  </si>
  <si>
    <t>19.085069788026964</t>
  </si>
  <si>
    <t>72.84261961332419</t>
  </si>
  <si>
    <t>Hingoli</t>
  </si>
  <si>
    <t>19.59525302245251</t>
  </si>
  <si>
    <t>77.09239412780653</t>
  </si>
  <si>
    <t>Jalgaon</t>
  </si>
  <si>
    <t>75.55140421810695</t>
  </si>
  <si>
    <t>Jalna</t>
  </si>
  <si>
    <t>19.984612534818933</t>
  </si>
  <si>
    <t>75.98473607242339</t>
  </si>
  <si>
    <t>Kolhapur</t>
  </si>
  <si>
    <t>16.44881301587301</t>
  </si>
  <si>
    <t>74.12897150793648</t>
  </si>
  <si>
    <t>Latur</t>
  </si>
  <si>
    <t>18.348687268993856</t>
  </si>
  <si>
    <t>76.75812607802874</t>
  </si>
  <si>
    <t>Nagpur</t>
  </si>
  <si>
    <t>21.196556862745105</t>
  </si>
  <si>
    <t>79.02166176470584</t>
  </si>
  <si>
    <t>Nanded</t>
  </si>
  <si>
    <t>Nandurbar</t>
  </si>
  <si>
    <t>21.523175625248147</t>
  </si>
  <si>
    <t>74.32638757443429</t>
  </si>
  <si>
    <t>Nashik</t>
  </si>
  <si>
    <t>20.266912871287143</t>
  </si>
  <si>
    <t>74.03824168316828</t>
  </si>
  <si>
    <t>Osmanabad</t>
  </si>
  <si>
    <t>18.194594560669437</t>
  </si>
  <si>
    <t>75.99495575313809</t>
  </si>
  <si>
    <t>Parbhani</t>
  </si>
  <si>
    <t>19.310324252491682</t>
  </si>
  <si>
    <t>76.70163338870431</t>
  </si>
  <si>
    <t>Pune</t>
  </si>
  <si>
    <t>18.51696171428573</t>
  </si>
  <si>
    <t>74.12922881632647</t>
  </si>
  <si>
    <t>18.453257637845976</t>
  </si>
  <si>
    <t>Ratnagiri</t>
  </si>
  <si>
    <t>17.210195070127703</t>
  </si>
  <si>
    <t>73.25725893866404</t>
  </si>
  <si>
    <t>Sangli</t>
  </si>
  <si>
    <t>17.154930181086502</t>
  </si>
  <si>
    <t>74.70713822937628</t>
  </si>
  <si>
    <t>Satara</t>
  </si>
  <si>
    <t>74.18052064102558</t>
  </si>
  <si>
    <t>Sindhudurg</t>
  </si>
  <si>
    <t>16.170948049777163</t>
  </si>
  <si>
    <t>73.51329008172343</t>
  </si>
  <si>
    <t>Solapur</t>
  </si>
  <si>
    <t>17.837357937584812</t>
  </si>
  <si>
    <t>75.42394823609216</t>
  </si>
  <si>
    <t>Thane</t>
  </si>
  <si>
    <t>19.698767747440264</t>
  </si>
  <si>
    <t>72.79882742564581</t>
  </si>
  <si>
    <t>Wardha</t>
  </si>
  <si>
    <t>20.80743024390242</t>
  </si>
  <si>
    <t>78.57259105691062</t>
  </si>
  <si>
    <t>Washim</t>
  </si>
  <si>
    <t>20.282282394366213</t>
  </si>
  <si>
    <t>77.25502394366208</t>
  </si>
  <si>
    <t>Yavatmal</t>
  </si>
  <si>
    <t>20.04258346738159</t>
  </si>
  <si>
    <t>78.05326371760479</t>
  </si>
  <si>
    <t>Manipur</t>
  </si>
  <si>
    <t>Bishnupur</t>
  </si>
  <si>
    <t>24.50712111801243</t>
  </si>
  <si>
    <t>Chandel</t>
  </si>
  <si>
    <t>94.09443844155845</t>
  </si>
  <si>
    <t>Churachandpur</t>
  </si>
  <si>
    <t>24.30309718875504</t>
  </si>
  <si>
    <t>93.38671506024083</t>
  </si>
  <si>
    <t>East Imphal</t>
  </si>
  <si>
    <t>24.821058072289166</t>
  </si>
  <si>
    <t>93.66951204819269</t>
  </si>
  <si>
    <t>Senapati</t>
  </si>
  <si>
    <t>25.08465586034914</t>
  </si>
  <si>
    <t>94.03366234413956</t>
  </si>
  <si>
    <t>Tamenglong</t>
  </si>
  <si>
    <t>24.98312942238265</t>
  </si>
  <si>
    <t>93.49450740072203</t>
  </si>
  <si>
    <t>Thoubal</t>
  </si>
  <si>
    <t>24.545392553191498</t>
  </si>
  <si>
    <t>93.97959893617025</t>
  </si>
  <si>
    <t>Ukhrul</t>
  </si>
  <si>
    <t>25.059003149606294</t>
  </si>
  <si>
    <t>94.44129566929138</t>
  </si>
  <si>
    <t>West Imphal</t>
  </si>
  <si>
    <t>24.79400558659217</t>
  </si>
  <si>
    <t>93.88859050279328</t>
  </si>
  <si>
    <t>Meghalaya</t>
  </si>
  <si>
    <t>East Garo Hills</t>
  </si>
  <si>
    <t>25.82728228228228</t>
  </si>
  <si>
    <t>90.64684924924917</t>
  </si>
  <si>
    <t>East Khasi Hills</t>
  </si>
  <si>
    <t>25.303763888888884</t>
  </si>
  <si>
    <t>91.75922519841271</t>
  </si>
  <si>
    <t>Jaintia Hills</t>
  </si>
  <si>
    <t>25.339595570698442</t>
  </si>
  <si>
    <t>92.37608160136298</t>
  </si>
  <si>
    <t>Ri-Bhoi</t>
  </si>
  <si>
    <t>25.89706600441498</t>
  </si>
  <si>
    <t>South Garo Hills</t>
  </si>
  <si>
    <t>25.240568578553614</t>
  </si>
  <si>
    <t>90.64560349127177</t>
  </si>
  <si>
    <t>West Garo Hills</t>
  </si>
  <si>
    <t>25.495285185185185</t>
  </si>
  <si>
    <t>90.03709947089942</t>
  </si>
  <si>
    <t>West Khasi Hills</t>
  </si>
  <si>
    <t>25.500889926739926</t>
  </si>
  <si>
    <t>91.25364542124538</t>
  </si>
  <si>
    <t>Mizoram</t>
  </si>
  <si>
    <t>Aizawl</t>
  </si>
  <si>
    <t>23.907813354531015</t>
  </si>
  <si>
    <t>92.85359459459472</t>
  </si>
  <si>
    <t>Champhai</t>
  </si>
  <si>
    <t>23.54166580976866</t>
  </si>
  <si>
    <t>93.24221799485862</t>
  </si>
  <si>
    <t>Kolasib</t>
  </si>
  <si>
    <t>24.202000434782597</t>
  </si>
  <si>
    <t>92.73470391304349</t>
  </si>
  <si>
    <t>Lawngtlai</t>
  </si>
  <si>
    <t>22.361028431372535</t>
  </si>
  <si>
    <t>92.66964156862753</t>
  </si>
  <si>
    <t>Lunglei</t>
  </si>
  <si>
    <t>23.007717036172675</t>
  </si>
  <si>
    <t>92.63512555425892</t>
  </si>
  <si>
    <t>Mamit</t>
  </si>
  <si>
    <t>23.73852942502819</t>
  </si>
  <si>
    <t>Saiha</t>
  </si>
  <si>
    <t>22.35744801061008</t>
  </si>
  <si>
    <t>93.02827931034487</t>
  </si>
  <si>
    <t>Serchhip</t>
  </si>
  <si>
    <t>23.263864705882344</t>
  </si>
  <si>
    <t>92.91415849673201</t>
  </si>
  <si>
    <t>Nagaland</t>
  </si>
  <si>
    <t>Dimapur</t>
  </si>
  <si>
    <t>25.814176811594226</t>
  </si>
  <si>
    <t>93.75074057971014</t>
  </si>
  <si>
    <t>Kohima</t>
  </si>
  <si>
    <t>25.60311428571428</t>
  </si>
  <si>
    <t>93.78600657596373</t>
  </si>
  <si>
    <t>Mokokchung</t>
  </si>
  <si>
    <t>26.478911764705888</t>
  </si>
  <si>
    <t>Mon</t>
  </si>
  <si>
    <t>26.69207374301676</t>
  </si>
  <si>
    <t>95.03072988826827</t>
  </si>
  <si>
    <t>Phek</t>
  </si>
  <si>
    <t>25.63272986577182</t>
  </si>
  <si>
    <t>94.56814563758391</t>
  </si>
  <si>
    <t>Tuensang</t>
  </si>
  <si>
    <t>26.211044532803157</t>
  </si>
  <si>
    <t>94.85809880715708</t>
  </si>
  <si>
    <t>Wokha</t>
  </si>
  <si>
    <t>26.202611551155112</t>
  </si>
  <si>
    <t>94.19908151815179</t>
  </si>
  <si>
    <t>Zunheboto</t>
  </si>
  <si>
    <t>26.028178205128206</t>
  </si>
  <si>
    <t>94.50026666666669</t>
  </si>
  <si>
    <t>Orissa</t>
  </si>
  <si>
    <t>Angul</t>
  </si>
  <si>
    <t>21.12070619765495</t>
  </si>
  <si>
    <t>84.99839212730328</t>
  </si>
  <si>
    <t>Baleshwar</t>
  </si>
  <si>
    <t>21.48570932311624</t>
  </si>
  <si>
    <t>87.08085828011933</t>
  </si>
  <si>
    <t>Baragarh</t>
  </si>
  <si>
    <t>21.13240637931036</t>
  </si>
  <si>
    <t>83.26444499999991</t>
  </si>
  <si>
    <t>Bhadrak</t>
  </si>
  <si>
    <t>20.95262735257214</t>
  </si>
  <si>
    <t>86.81496204516931</t>
  </si>
  <si>
    <t>Bolangir</t>
  </si>
  <si>
    <t>20.616300298507447</t>
  </si>
  <si>
    <t>83.21520059701498</t>
  </si>
  <si>
    <t>Boudh</t>
  </si>
  <si>
    <t>20.583190740740726</t>
  </si>
  <si>
    <t>84.12363306878305</t>
  </si>
  <si>
    <t>Cuttack</t>
  </si>
  <si>
    <t>20.407640646029623</t>
  </si>
  <si>
    <t>Deogarh</t>
  </si>
  <si>
    <t>21.431462015503882</t>
  </si>
  <si>
    <t>84.81452480620162</t>
  </si>
  <si>
    <t>Dhenkanal</t>
  </si>
  <si>
    <t>20.798871593533494</t>
  </si>
  <si>
    <t>85.53226836027711</t>
  </si>
  <si>
    <t>Gajapati</t>
  </si>
  <si>
    <t>19.121080882352945</t>
  </si>
  <si>
    <t>84.14015091911759</t>
  </si>
  <si>
    <t>Ganjam</t>
  </si>
  <si>
    <t>19.263261756453396</t>
  </si>
  <si>
    <t>84.80297710437702</t>
  </si>
  <si>
    <t>Jagatsinghpur</t>
  </si>
  <si>
    <t>20.114443183609136</t>
  </si>
  <si>
    <t>86.43265258733919</t>
  </si>
  <si>
    <t>Jajpur</t>
  </si>
  <si>
    <t>20.853249094202905</t>
  </si>
  <si>
    <t>86.15277300724634</t>
  </si>
  <si>
    <t>Jharsuguda</t>
  </si>
  <si>
    <t>21.827058566978184</t>
  </si>
  <si>
    <t>83.93581682242987</t>
  </si>
  <si>
    <t>Kalahandi</t>
  </si>
  <si>
    <t>19.784253092783523</t>
  </si>
  <si>
    <t>Kandhamal</t>
  </si>
  <si>
    <t>20.092878624813146</t>
  </si>
  <si>
    <t>84.02216352765326</t>
  </si>
  <si>
    <t>Kendrapara</t>
  </si>
  <si>
    <t>20.606319815982264</t>
  </si>
  <si>
    <t>86.83763247572003</t>
  </si>
  <si>
    <t>Keonjhar</t>
  </si>
  <si>
    <t>21.492257402597378</t>
  </si>
  <si>
    <t>85.76276987012994</t>
  </si>
  <si>
    <t>Khordha</t>
  </si>
  <si>
    <t>20.054162322274863</t>
  </si>
  <si>
    <t>85.52234834123229</t>
  </si>
  <si>
    <t>Koraput</t>
  </si>
  <si>
    <t>18.82627794779476</t>
  </si>
  <si>
    <t>82.81278469846964</t>
  </si>
  <si>
    <t>Malkangiri</t>
  </si>
  <si>
    <t>18.25227930367506</t>
  </si>
  <si>
    <t>81.98293636363628</t>
  </si>
  <si>
    <t>Mayurbhanj</t>
  </si>
  <si>
    <t>21.897621545157754</t>
  </si>
  <si>
    <t>Nabarangpur</t>
  </si>
  <si>
    <t>19.513047166921904</t>
  </si>
  <si>
    <t>82.42041960183768</t>
  </si>
  <si>
    <t>Nayagarh</t>
  </si>
  <si>
    <t>20.192895622119817</t>
  </si>
  <si>
    <t>85.05614700460825</t>
  </si>
  <si>
    <t>Nuapada</t>
  </si>
  <si>
    <t>20.471309512195113</t>
  </si>
  <si>
    <t>82.59152536585364</t>
  </si>
  <si>
    <t>Puri</t>
  </si>
  <si>
    <t>19.835091746031775</t>
  </si>
  <si>
    <t>85.86698989898981</t>
  </si>
  <si>
    <t>Rayagada</t>
  </si>
  <si>
    <t>19.292840020060204</t>
  </si>
  <si>
    <t>83.45860120361095</t>
  </si>
  <si>
    <t>Sambalpur</t>
  </si>
  <si>
    <t>21.515752380952385</t>
  </si>
  <si>
    <t>84.34958483245157</t>
  </si>
  <si>
    <t>Sonepur</t>
  </si>
  <si>
    <t>20.890803293413175</t>
  </si>
  <si>
    <t>83.76852634730537</t>
  </si>
  <si>
    <t>Sundargarh</t>
  </si>
  <si>
    <t>22.06354819277107</t>
  </si>
  <si>
    <t>84.50524819277099</t>
  </si>
  <si>
    <t>Puducherry</t>
  </si>
  <si>
    <t>Karaikal</t>
  </si>
  <si>
    <t>10.876161726078811</t>
  </si>
  <si>
    <t>79.82369793621002</t>
  </si>
  <si>
    <t>Mahe</t>
  </si>
  <si>
    <t>12.006420793787758</t>
  </si>
  <si>
    <t>75.28275021570326</t>
  </si>
  <si>
    <t>11.887806269592494</t>
  </si>
  <si>
    <t>Yanam</t>
  </si>
  <si>
    <t>16.707695652173904</t>
  </si>
  <si>
    <t>82.26187304347832</t>
  </si>
  <si>
    <t>Punjab</t>
  </si>
  <si>
    <t>Amritsar</t>
  </si>
  <si>
    <t>31.548679820627775</t>
  </si>
  <si>
    <t>74.79883856502238</t>
  </si>
  <si>
    <t>Bathinda</t>
  </si>
  <si>
    <t>30.190524611973352</t>
  </si>
  <si>
    <t>75.05685898004438</t>
  </si>
  <si>
    <t>Faridkot</t>
  </si>
  <si>
    <t>30.591187250996022</t>
  </si>
  <si>
    <t>74.79751553784862</t>
  </si>
  <si>
    <t>Fatehgarh Sahib</t>
  </si>
  <si>
    <t>30.64290947368421</t>
  </si>
  <si>
    <t>76.36208394736842</t>
  </si>
  <si>
    <t>Firozpur</t>
  </si>
  <si>
    <t>30.63407535211269</t>
  </si>
  <si>
    <t>74.40245732394365</t>
  </si>
  <si>
    <t>Gurdaspur</t>
  </si>
  <si>
    <t>32.04283371212125</t>
  </si>
  <si>
    <t>Hoshiarpur</t>
  </si>
  <si>
    <t>31.55157169811319</t>
  </si>
  <si>
    <t>Jalandhar</t>
  </si>
  <si>
    <t>31.250336907216507</t>
  </si>
  <si>
    <t>75.54400350515463</t>
  </si>
  <si>
    <t>Kapurthala</t>
  </si>
  <si>
    <t>31.336592638036834</t>
  </si>
  <si>
    <t>75.47641165644177</t>
  </si>
  <si>
    <t>Ludhiana</t>
  </si>
  <si>
    <t>30.76596397379912</t>
  </si>
  <si>
    <t>75.83110851528383</t>
  </si>
  <si>
    <t>Mansa</t>
  </si>
  <si>
    <t>29.919547714285724</t>
  </si>
  <si>
    <t>Moga</t>
  </si>
  <si>
    <t>30.756540067340065</t>
  </si>
  <si>
    <t>Muktsar</t>
  </si>
  <si>
    <t>30.31243303303303</t>
  </si>
  <si>
    <t>Nawan Shehar</t>
  </si>
  <si>
    <t>31.133445454545434</t>
  </si>
  <si>
    <t>Patiala</t>
  </si>
  <si>
    <t>30.214540380693364</t>
  </si>
  <si>
    <t>76.27505893949697</t>
  </si>
  <si>
    <t>Rupnagar</t>
  </si>
  <si>
    <t>30.910937330754347</t>
  </si>
  <si>
    <t>76.53743500967126</t>
  </si>
  <si>
    <t>Sangrur</t>
  </si>
  <si>
    <t>30.185045204336898</t>
  </si>
  <si>
    <t>75.89437014178496</t>
  </si>
  <si>
    <t>Rajasthan</t>
  </si>
  <si>
    <t>Ajmer</t>
  </si>
  <si>
    <t>26.199300378787903</t>
  </si>
  <si>
    <t>Alwar</t>
  </si>
  <si>
    <t>27.55271738035265</t>
  </si>
  <si>
    <t>76.65359630562563</t>
  </si>
  <si>
    <t>Banswara</t>
  </si>
  <si>
    <t>23.453642032967018</t>
  </si>
  <si>
    <t>74.44246868131869</t>
  </si>
  <si>
    <t>Baran</t>
  </si>
  <si>
    <t>24.980232432432437</t>
  </si>
  <si>
    <t>76.86210651828291</t>
  </si>
  <si>
    <t>Barmer</t>
  </si>
  <si>
    <t>25.77070908045978</t>
  </si>
  <si>
    <t>71.50297126436782</t>
  </si>
  <si>
    <t>Bharatpur</t>
  </si>
  <si>
    <t>27.32411858037578</t>
  </si>
  <si>
    <t>77.21752077244258</t>
  </si>
  <si>
    <t>Bhilwara</t>
  </si>
  <si>
    <t>25.451197677595637</t>
  </si>
  <si>
    <t>74.63947595628417</t>
  </si>
  <si>
    <t>Bikaner</t>
  </si>
  <si>
    <t>28.124890683229815</t>
  </si>
  <si>
    <t>73.26943322981371</t>
  </si>
  <si>
    <t>Bundi</t>
  </si>
  <si>
    <t>25.48580716049379</t>
  </si>
  <si>
    <t>75.79984074074079</t>
  </si>
  <si>
    <t>Chittaurgarh</t>
  </si>
  <si>
    <t>24.631623761665463</t>
  </si>
  <si>
    <t>74.80010997846382</t>
  </si>
  <si>
    <t>Churu</t>
  </si>
  <si>
    <t>28.29330375536484</t>
  </si>
  <si>
    <t>74.65846427038629</t>
  </si>
  <si>
    <t>Dausa</t>
  </si>
  <si>
    <t>26.91234817629181</t>
  </si>
  <si>
    <t>76.57342097264443</t>
  </si>
  <si>
    <t>Dhaulpur</t>
  </si>
  <si>
    <t>26.723970549450534</t>
  </si>
  <si>
    <t>77.74476219780222</t>
  </si>
  <si>
    <t>Dungarpur</t>
  </si>
  <si>
    <t>23.751048076923077</t>
  </si>
  <si>
    <t>73.84765641025645</t>
  </si>
  <si>
    <t>Ganganagar</t>
  </si>
  <si>
    <t>29.256785412667963</t>
  </si>
  <si>
    <t>73.56192303262948</t>
  </si>
  <si>
    <t>Hanumangarh</t>
  </si>
  <si>
    <t>74.74632573289902</t>
  </si>
  <si>
    <t>Jaipur</t>
  </si>
  <si>
    <t>27.033459290187885</t>
  </si>
  <si>
    <t>75.77117286012533</t>
  </si>
  <si>
    <t>Jaisalmer</t>
  </si>
  <si>
    <t>26.86900838548185</t>
  </si>
  <si>
    <t>71.18371877346682</t>
  </si>
  <si>
    <t>Jalor</t>
  </si>
  <si>
    <t>25.075780937972766</t>
  </si>
  <si>
    <t>72.18647261724662</t>
  </si>
  <si>
    <t>Jhalawar</t>
  </si>
  <si>
    <t>24.247255414746572</t>
  </si>
  <si>
    <t>76.11242891705065</t>
  </si>
  <si>
    <t>Jhunjhunun</t>
  </si>
  <si>
    <t>28.13517401247401</t>
  </si>
  <si>
    <t>75.52840893970894</t>
  </si>
  <si>
    <t>Jodhpur</t>
  </si>
  <si>
    <t>26.678460838536967</t>
  </si>
  <si>
    <t>73.00450847457628</t>
  </si>
  <si>
    <t>Karauli</t>
  </si>
  <si>
    <t>26.519015555555562</t>
  </si>
  <si>
    <t>76.96081818181815</t>
  </si>
  <si>
    <t>Kota</t>
  </si>
  <si>
    <t>25.175718080000014</t>
  </si>
  <si>
    <t>76.18618928000001</t>
  </si>
  <si>
    <t>Nagaur</t>
  </si>
  <si>
    <t>27.07862016048146</t>
  </si>
  <si>
    <t>74.14215667001012</t>
  </si>
  <si>
    <t>Pali</t>
  </si>
  <si>
    <t>25.80490393541874</t>
  </si>
  <si>
    <t>73.55285640766907</t>
  </si>
  <si>
    <t>Rajsamand</t>
  </si>
  <si>
    <t>25.24894767441859</t>
  </si>
  <si>
    <t>73.96570215946844</t>
  </si>
  <si>
    <t>Sawai Madhopur</t>
  </si>
  <si>
    <t>26.251081180223288</t>
  </si>
  <si>
    <t>Sikar</t>
  </si>
  <si>
    <t>27.646440586419757</t>
  </si>
  <si>
    <t>75.29317422839503</t>
  </si>
  <si>
    <t>Sirohi</t>
  </si>
  <si>
    <t>72.75309131578943</t>
  </si>
  <si>
    <t>Tonk</t>
  </si>
  <si>
    <t>26.153935071707927</t>
  </si>
  <si>
    <t>75.79192216427637</t>
  </si>
  <si>
    <t>Udaipur</t>
  </si>
  <si>
    <t>24.44076752136749</t>
  </si>
  <si>
    <t>73.84029839743584</t>
  </si>
  <si>
    <t>Sikkim</t>
  </si>
  <si>
    <t>East</t>
  </si>
  <si>
    <t>27.29600352941175</t>
  </si>
  <si>
    <t>88.74908392156858</t>
  </si>
  <si>
    <t>North Sikkim</t>
  </si>
  <si>
    <t>27.813810047095735</t>
  </si>
  <si>
    <t>88.54200565149137</t>
  </si>
  <si>
    <t>South Sikkim</t>
  </si>
  <si>
    <t>27.278021621621612</t>
  </si>
  <si>
    <t>88.37538594594596</t>
  </si>
  <si>
    <t>West Sikkim</t>
  </si>
  <si>
    <t>88.15801200000007</t>
  </si>
  <si>
    <t>Tamil Nadu</t>
  </si>
  <si>
    <t>Ariyalur</t>
  </si>
  <si>
    <t>11.190514836795257</t>
  </si>
  <si>
    <t>79.22249643916912</t>
  </si>
  <si>
    <t>Chennai</t>
  </si>
  <si>
    <t>13.058098905608748</t>
  </si>
  <si>
    <t>80.28139151846806</t>
  </si>
  <si>
    <t>Coimbatore</t>
  </si>
  <si>
    <t>10.871376995940453</t>
  </si>
  <si>
    <t>77.07619012178621</t>
  </si>
  <si>
    <t>Cuddalore</t>
  </si>
  <si>
    <t>11.57587300613498</t>
  </si>
  <si>
    <t>79.63002365371497</t>
  </si>
  <si>
    <t>Dharmapuri</t>
  </si>
  <si>
    <t>12.300141200000006</t>
  </si>
  <si>
    <t>78.11509813333339</t>
  </si>
  <si>
    <t>Dindigul</t>
  </si>
  <si>
    <t>10.377801390820574</t>
  </si>
  <si>
    <t>77.78011279554937</t>
  </si>
  <si>
    <t>Erode</t>
  </si>
  <si>
    <t>11.267012155963302</t>
  </si>
  <si>
    <t>77.42034334862392</t>
  </si>
  <si>
    <t>Kancheepuram</t>
  </si>
  <si>
    <t>12.496424756511884</t>
  </si>
  <si>
    <t>80.08820360135913</t>
  </si>
  <si>
    <t>Kanniyakumari</t>
  </si>
  <si>
    <t>8.183466300191206</t>
  </si>
  <si>
    <t>77.32053064053538</t>
  </si>
  <si>
    <t>Karur</t>
  </si>
  <si>
    <t>10.79532776617955</t>
  </si>
  <si>
    <t>78.08749686847604</t>
  </si>
  <si>
    <t>Madurai</t>
  </si>
  <si>
    <t>9.904313833333333</t>
  </si>
  <si>
    <t>78.01366033333332</t>
  </si>
  <si>
    <t>Nagapattinam</t>
  </si>
  <si>
    <t>10.789468161718286</t>
  </si>
  <si>
    <t>79.79437299431483</t>
  </si>
  <si>
    <t>Namakkal</t>
  </si>
  <si>
    <t>11.33766638477801</t>
  </si>
  <si>
    <t>78.14624841437633</t>
  </si>
  <si>
    <t>Nilgiris</t>
  </si>
  <si>
    <t>11.442361661341858</t>
  </si>
  <si>
    <t>Perambalur</t>
  </si>
  <si>
    <t>11.260137758112096</t>
  </si>
  <si>
    <t>78.86034011799416</t>
  </si>
  <si>
    <t>Pudukkottai</t>
  </si>
  <si>
    <t>10.130514816433578</t>
  </si>
  <si>
    <t>79.05444484265728</t>
  </si>
  <si>
    <t>Ramanathapuram</t>
  </si>
  <si>
    <t>9.312869951534761</t>
  </si>
  <si>
    <t>78.99185362412462</t>
  </si>
  <si>
    <t>Salem</t>
  </si>
  <si>
    <t>11.629324202127657</t>
  </si>
  <si>
    <t>Sivaganga</t>
  </si>
  <si>
    <t>9.960306580645158</t>
  </si>
  <si>
    <t>78.56535729032255</t>
  </si>
  <si>
    <t>Thanjavur</t>
  </si>
  <si>
    <t>10.387692255892237</t>
  </si>
  <si>
    <t>Theni</t>
  </si>
  <si>
    <t>9.924066666666667</t>
  </si>
  <si>
    <t>77.43458833333332</t>
  </si>
  <si>
    <t>Thiruvallur</t>
  </si>
  <si>
    <t>13.275858101752883</t>
  </si>
  <si>
    <t>80.19724702864492</t>
  </si>
  <si>
    <t>Thiruvarur</t>
  </si>
  <si>
    <t>10.368927409395978</t>
  </si>
  <si>
    <t>79.60322893959727</t>
  </si>
  <si>
    <t>Thoothukudi</t>
  </si>
  <si>
    <t>8.720961169702786</t>
  </si>
  <si>
    <t>78.13832690955552</t>
  </si>
  <si>
    <t>Tiruchchirappalli</t>
  </si>
  <si>
    <t>10.837841323210409</t>
  </si>
  <si>
    <t>78.54729002169196</t>
  </si>
  <si>
    <t>Tirunelveli Kattabo</t>
  </si>
  <si>
    <t>77.70549636277762</t>
  </si>
  <si>
    <t>Tiruvannamalai</t>
  </si>
  <si>
    <t>12.419318947368414</t>
  </si>
  <si>
    <t>79.23265631578953</t>
  </si>
  <si>
    <t>Vellore</t>
  </si>
  <si>
    <t>12.784882632293078</t>
  </si>
  <si>
    <t>79.02643283582084</t>
  </si>
  <si>
    <t>Villupuram</t>
  </si>
  <si>
    <t>12.065571352676752</t>
  </si>
  <si>
    <t>Virudhunagar</t>
  </si>
  <si>
    <t>9.468872195892565</t>
  </si>
  <si>
    <t>77.87641469194315</t>
  </si>
  <si>
    <t>Tripura</t>
  </si>
  <si>
    <t>Dhalai</t>
  </si>
  <si>
    <t>23.781360477941163</t>
  </si>
  <si>
    <t>91.94654283088231</t>
  </si>
  <si>
    <t>North Tripura</t>
  </si>
  <si>
    <t>24.121739755351683</t>
  </si>
  <si>
    <t>92.17842538226292</t>
  </si>
  <si>
    <t>South Tripura</t>
  </si>
  <si>
    <t>23.211874098057386</t>
  </si>
  <si>
    <t>West Tripura</t>
  </si>
  <si>
    <t>23.780166241299337</t>
  </si>
  <si>
    <t>91.41310788863109</t>
  </si>
  <si>
    <t>Uttar Pradesh</t>
  </si>
  <si>
    <t>Agra</t>
  </si>
  <si>
    <t>26.995129749103935</t>
  </si>
  <si>
    <t>78.05278291517321</t>
  </si>
  <si>
    <t>Aligarh</t>
  </si>
  <si>
    <t>27.937485768500935</t>
  </si>
  <si>
    <t>78.00146831119557</t>
  </si>
  <si>
    <t>Allahabad</t>
  </si>
  <si>
    <t>25.392038662316445</t>
  </si>
  <si>
    <t>82.05172446982063</t>
  </si>
  <si>
    <t>Ambedkar Nagar</t>
  </si>
  <si>
    <t>26.39119025974028</t>
  </si>
  <si>
    <t>82.68282142857147</t>
  </si>
  <si>
    <t>Auraiya</t>
  </si>
  <si>
    <t>26.66892394014961</t>
  </si>
  <si>
    <t>79.42637057356607</t>
  </si>
  <si>
    <t>Azamgarh</t>
  </si>
  <si>
    <t>26.008290954773834</t>
  </si>
  <si>
    <t>83.01220251256285</t>
  </si>
  <si>
    <t>Badaun</t>
  </si>
  <si>
    <t>28.085956727272713</t>
  </si>
  <si>
    <t>78.99710800000005</t>
  </si>
  <si>
    <t>Baghpat</t>
  </si>
  <si>
    <t>29.045793499999988</t>
  </si>
  <si>
    <t>77.30266300000001</t>
  </si>
  <si>
    <t>Bahraich</t>
  </si>
  <si>
    <t>27.691776300578027</t>
  </si>
  <si>
    <t>81.46779783237004</t>
  </si>
  <si>
    <t>Ballia</t>
  </si>
  <si>
    <t>25.86075638297873</t>
  </si>
  <si>
    <t>84.03651978723408</t>
  </si>
  <si>
    <t>Balrampur</t>
  </si>
  <si>
    <t>27.449076537911324</t>
  </si>
  <si>
    <t>82.47158326180256</t>
  </si>
  <si>
    <t>Banda</t>
  </si>
  <si>
    <t>25.351885902503284</t>
  </si>
  <si>
    <t>80.52487391304344</t>
  </si>
  <si>
    <t>Bara Banki</t>
  </si>
  <si>
    <t>26.922777025232424</t>
  </si>
  <si>
    <t>81.35762350597606</t>
  </si>
  <si>
    <t>Bareilly</t>
  </si>
  <si>
    <t>28.51101940789474</t>
  </si>
  <si>
    <t>79.43187072368416</t>
  </si>
  <si>
    <t>Basti</t>
  </si>
  <si>
    <t>26.833880454545447</t>
  </si>
  <si>
    <t>82.69790590909092</t>
  </si>
  <si>
    <t>Bijnor</t>
  </si>
  <si>
    <t>29.313974259681096</t>
  </si>
  <si>
    <t>78.45098815489754</t>
  </si>
  <si>
    <t>Bulandshahr</t>
  </si>
  <si>
    <t>28.348758620689676</t>
  </si>
  <si>
    <t>78.01082758620684</t>
  </si>
  <si>
    <t>Chandauli</t>
  </si>
  <si>
    <t>83.25307062634984</t>
  </si>
  <si>
    <t>Chitrakoot</t>
  </si>
  <si>
    <t>81.07666087551297</t>
  </si>
  <si>
    <t>Deoria</t>
  </si>
  <si>
    <t>26.422188565488575</t>
  </si>
  <si>
    <t>Etah</t>
  </si>
  <si>
    <t>27.591155309734443</t>
  </si>
  <si>
    <t>78.70021858407083</t>
  </si>
  <si>
    <t>Etawah</t>
  </si>
  <si>
    <t>26.78817670157068</t>
  </si>
  <si>
    <t>79.07621806282728</t>
  </si>
  <si>
    <t>Faizabad</t>
  </si>
  <si>
    <t>26.60589185185181</t>
  </si>
  <si>
    <t>82.00783530864202</t>
  </si>
  <si>
    <t>Farrukhabad</t>
  </si>
  <si>
    <t>27.45063297872342</t>
  </si>
  <si>
    <t>Fatehpur</t>
  </si>
  <si>
    <t>80.85416203090509</t>
  </si>
  <si>
    <t>Firozabad</t>
  </si>
  <si>
    <t>27.20963993055552</t>
  </si>
  <si>
    <t>78.42660624999998</t>
  </si>
  <si>
    <t>Gautam Buddha Nagar</t>
  </si>
  <si>
    <t>28.393311038961034</t>
  </si>
  <si>
    <t>77.52462467532465</t>
  </si>
  <si>
    <t>Ghaziabad</t>
  </si>
  <si>
    <t>28.74997308584685</t>
  </si>
  <si>
    <t>77.67441879350343</t>
  </si>
  <si>
    <t>Ghazipur</t>
  </si>
  <si>
    <t>25.624724775583484</t>
  </si>
  <si>
    <t>Gonda</t>
  </si>
  <si>
    <t>27.157215552099505</t>
  </si>
  <si>
    <t>Gorakhpur</t>
  </si>
  <si>
    <t>26.63315886792452</t>
  </si>
  <si>
    <t>25.738158381502895</t>
  </si>
  <si>
    <t>79.82619479768789</t>
  </si>
  <si>
    <t>Hardoi</t>
  </si>
  <si>
    <t>27.337409090909137</t>
  </si>
  <si>
    <t>80.26411767676768</t>
  </si>
  <si>
    <t>Hathras</t>
  </si>
  <si>
    <t>27.57814661246612</t>
  </si>
  <si>
    <t>78.18251084010846</t>
  </si>
  <si>
    <t>Jalaun</t>
  </si>
  <si>
    <t>26.067954587155988</t>
  </si>
  <si>
    <t>79.36686911314993</t>
  </si>
  <si>
    <t>Jaunpur</t>
  </si>
  <si>
    <t>25.70141280913127</t>
  </si>
  <si>
    <t>82.54315351934063</t>
  </si>
  <si>
    <t>Jhansi</t>
  </si>
  <si>
    <t>25.45581535234902</t>
  </si>
  <si>
    <t>78.89954580536917</t>
  </si>
  <si>
    <t>Jyotiba Phule Nagar</t>
  </si>
  <si>
    <t>28.870498984771594</t>
  </si>
  <si>
    <t>78.39009365482241</t>
  </si>
  <si>
    <t>Kannauj</t>
  </si>
  <si>
    <t>26.993988617886185</t>
  </si>
  <si>
    <t>79.64437940379408</t>
  </si>
  <si>
    <t>Kanpur Dehat</t>
  </si>
  <si>
    <t>26.43047641196011</t>
  </si>
  <si>
    <t>79.98710083056478</t>
  </si>
  <si>
    <t>Kanpur</t>
  </si>
  <si>
    <t>80.29251572580651</t>
  </si>
  <si>
    <t>Kaushambi</t>
  </si>
  <si>
    <t>25.53587532051282</t>
  </si>
  <si>
    <t>81.41811282051287</t>
  </si>
  <si>
    <t>Kushinagar</t>
  </si>
  <si>
    <t>26.892530675909864</t>
  </si>
  <si>
    <t>83.92261542461007</t>
  </si>
  <si>
    <t>Lakhimpur Kheri</t>
  </si>
  <si>
    <t>28.091854006243466</t>
  </si>
  <si>
    <t>80.64732466181074</t>
  </si>
  <si>
    <t>Lalitpur</t>
  </si>
  <si>
    <t>24.588771610169452</t>
  </si>
  <si>
    <t>78.60082330508473</t>
  </si>
  <si>
    <t>Lucknow</t>
  </si>
  <si>
    <t>26.838233589251466</t>
  </si>
  <si>
    <t>80.89706026871404</t>
  </si>
  <si>
    <t>Maharajganj</t>
  </si>
  <si>
    <t>27.177099107142883</t>
  </si>
  <si>
    <t>83.46127857142869</t>
  </si>
  <si>
    <t>Mahoba</t>
  </si>
  <si>
    <t>25.34529670138888</t>
  </si>
  <si>
    <t>79.67863003472216</t>
  </si>
  <si>
    <t>Mainpuri</t>
  </si>
  <si>
    <t>27.17386862302482</t>
  </si>
  <si>
    <t>79.03501851015807</t>
  </si>
  <si>
    <t>Mathura</t>
  </si>
  <si>
    <t>27.59390432801821</t>
  </si>
  <si>
    <t>77.62153416856502</t>
  </si>
  <si>
    <t>Mau</t>
  </si>
  <si>
    <t>26.010822037914686</t>
  </si>
  <si>
    <t>83.50582654028433</t>
  </si>
  <si>
    <t>Meerut</t>
  </si>
  <si>
    <t>29.02957625698323</t>
  </si>
  <si>
    <t>77.80611005586593</t>
  </si>
  <si>
    <t>Mirzapur</t>
  </si>
  <si>
    <t>25.10207959183675</t>
  </si>
  <si>
    <t>82.60126628571429</t>
  </si>
  <si>
    <t>Moradabad</t>
  </si>
  <si>
    <t>28.851770406189537</t>
  </si>
  <si>
    <t>78.73580193423597</t>
  </si>
  <si>
    <t>Muzaffarnagar</t>
  </si>
  <si>
    <t>29.470507977736563</t>
  </si>
  <si>
    <t>77.64017847866423</t>
  </si>
  <si>
    <t>Pilibhit</t>
  </si>
  <si>
    <t>28.520241750358682</t>
  </si>
  <si>
    <t>79.90103974175037</t>
  </si>
  <si>
    <t>Pratapgarh</t>
  </si>
  <si>
    <t>25.864842731707313</t>
  </si>
  <si>
    <t>81.93530048780492</t>
  </si>
  <si>
    <t>Rae Bareli</t>
  </si>
  <si>
    <t>26.253902840059787</t>
  </si>
  <si>
    <t>81.22260463378181</t>
  </si>
  <si>
    <t>Rampur</t>
  </si>
  <si>
    <t>28.83244727272725</t>
  </si>
  <si>
    <t>79.10977333333337</t>
  </si>
  <si>
    <t>Saharanpur</t>
  </si>
  <si>
    <t>30.033811652173917</t>
  </si>
  <si>
    <t>77.59905147826095</t>
  </si>
  <si>
    <t>Sant Kabir Nagar</t>
  </si>
  <si>
    <t>26.791596516393444</t>
  </si>
  <si>
    <t>Sant Ravi Das Nagar</t>
  </si>
  <si>
    <t>25.36457874306844</t>
  </si>
  <si>
    <t>82.43494990757856</t>
  </si>
  <si>
    <t>Shahjahanpur</t>
  </si>
  <si>
    <t>27.991389350649328</t>
  </si>
  <si>
    <t>Shravasti</t>
  </si>
  <si>
    <t>27.604917877094966</t>
  </si>
  <si>
    <t>81.79319776536313</t>
  </si>
  <si>
    <t>Siddharth Nagar</t>
  </si>
  <si>
    <t>27.207384839203716</t>
  </si>
  <si>
    <t>82.78664992343035</t>
  </si>
  <si>
    <t>Sitapur</t>
  </si>
  <si>
    <t>27.501995963091108</t>
  </si>
  <si>
    <t>80.85288881199547</t>
  </si>
  <si>
    <t>Sonbhadra</t>
  </si>
  <si>
    <t>24.46693268858798</t>
  </si>
  <si>
    <t>83.06816324951639</t>
  </si>
  <si>
    <t>Sultanpur</t>
  </si>
  <si>
    <t>82.05710456790123</t>
  </si>
  <si>
    <t>Unnao</t>
  </si>
  <si>
    <t>26.631639908952966</t>
  </si>
  <si>
    <t>Varanasi</t>
  </si>
  <si>
    <t>25.360570888888894</t>
  </si>
  <si>
    <t>82.82529666666672</t>
  </si>
  <si>
    <t>Uttaranchal</t>
  </si>
  <si>
    <t>Almora</t>
  </si>
  <si>
    <t>29.683532133676106</t>
  </si>
  <si>
    <t>79.50165064267351</t>
  </si>
  <si>
    <t>Bageshwar</t>
  </si>
  <si>
    <t>29.98703393393397</t>
  </si>
  <si>
    <t>79.83954354354357</t>
  </si>
  <si>
    <t>Chamoli</t>
  </si>
  <si>
    <t>30.583386114649652</t>
  </si>
  <si>
    <t>79.56281095541402</t>
  </si>
  <si>
    <t>Champawat</t>
  </si>
  <si>
    <t>29.29142393939393</t>
  </si>
  <si>
    <t>80.07720212121217</t>
  </si>
  <si>
    <t>Dehra Dun</t>
  </si>
  <si>
    <t>30.533333414932727</t>
  </si>
  <si>
    <t>Haridwar</t>
  </si>
  <si>
    <t>29.886057657657645</t>
  </si>
  <si>
    <t>77.92980067567574</t>
  </si>
  <si>
    <t>Naini Tal</t>
  </si>
  <si>
    <t>29.336370528967226</t>
  </si>
  <si>
    <t>Pauri Garhwal</t>
  </si>
  <si>
    <t>29.97806755102041</t>
  </si>
  <si>
    <t>78.77450163265311</t>
  </si>
  <si>
    <t>Pithoragarh</t>
  </si>
  <si>
    <t>30.147206318681295</t>
  </si>
  <si>
    <t>80.34229230769236</t>
  </si>
  <si>
    <t>Rudra Prayag</t>
  </si>
  <si>
    <t>30.55657755905512</t>
  </si>
  <si>
    <t>79.09422047244097</t>
  </si>
  <si>
    <t>Tehri Garhwal</t>
  </si>
  <si>
    <t>30.463700918635173</t>
  </si>
  <si>
    <t>78.48783792650917</t>
  </si>
  <si>
    <t>Udham Singh Nagar</t>
  </si>
  <si>
    <t>29.02779577677222</t>
  </si>
  <si>
    <t>79.45629004524895</t>
  </si>
  <si>
    <t>Uttarkashi</t>
  </si>
  <si>
    <t>30.968958552036234</t>
  </si>
  <si>
    <t>78.56880615384617</t>
  </si>
  <si>
    <t>West Bengal</t>
  </si>
  <si>
    <t>Bankura</t>
  </si>
  <si>
    <t>23.081280892857155</t>
  </si>
  <si>
    <t>87.12640053571437</t>
  </si>
  <si>
    <t>Barddhaman</t>
  </si>
  <si>
    <t>23.444453888888884</t>
  </si>
  <si>
    <t>Birbhum</t>
  </si>
  <si>
    <t>87.65153089201888</t>
  </si>
  <si>
    <t>Dakshin Dinajpur</t>
  </si>
  <si>
    <t>25.342094363021435</t>
  </si>
  <si>
    <t>88.69821679819614</t>
  </si>
  <si>
    <t>Darjiling</t>
  </si>
  <si>
    <t>26.839619571045585</t>
  </si>
  <si>
    <t>88.33145067024122</t>
  </si>
  <si>
    <t>East Midnapore</t>
  </si>
  <si>
    <t>21.991997254809966</t>
  </si>
  <si>
    <t>Haora</t>
  </si>
  <si>
    <t>22.401674174428507</t>
  </si>
  <si>
    <t>87.99421176968654</t>
  </si>
  <si>
    <t>Hugli</t>
  </si>
  <si>
    <t>22.879292647058815</t>
  </si>
  <si>
    <t>88.00010264705891</t>
  </si>
  <si>
    <t>Jalpaiguri</t>
  </si>
  <si>
    <t>26.62642031250004</t>
  </si>
  <si>
    <t>89.04154375000003</t>
  </si>
  <si>
    <t>Kochbihar</t>
  </si>
  <si>
    <t>26.25051611030475</t>
  </si>
  <si>
    <t>89.30613826802143</t>
  </si>
  <si>
    <t>Kolkata</t>
  </si>
  <si>
    <t>22.550581481481483</t>
  </si>
  <si>
    <t>Maldah</t>
  </si>
  <si>
    <t>25.080268025751046</t>
  </si>
  <si>
    <t>88.17191684549356</t>
  </si>
  <si>
    <t>Murshidabad</t>
  </si>
  <si>
    <t>24.25950655391121</t>
  </si>
  <si>
    <t>88.16816860465121</t>
  </si>
  <si>
    <t>Nadia</t>
  </si>
  <si>
    <t>23.56410971055088</t>
  </si>
  <si>
    <t>88.58293034547152</t>
  </si>
  <si>
    <t>North 24 Parganas</t>
  </si>
  <si>
    <t>22.062388450676877</t>
  </si>
  <si>
    <t>88.87793960802345</t>
  </si>
  <si>
    <t>Puruliya</t>
  </si>
  <si>
    <t>23.254192328767108</t>
  </si>
  <si>
    <t>South 24 Parganas</t>
  </si>
  <si>
    <t>21.854427507266063</t>
  </si>
  <si>
    <t>88.44536970827778</t>
  </si>
  <si>
    <t>Uttar Dinajpur</t>
  </si>
  <si>
    <t>26.044619165196977</t>
  </si>
  <si>
    <t>88.23595232216337</t>
  </si>
  <si>
    <t>West Midnapore</t>
  </si>
  <si>
    <t>22.354896919691964</t>
  </si>
  <si>
    <t>87.23101441144127</t>
  </si>
  <si>
    <t>Haversine Formula:  d = 2R · arcsin(√[ sin²(Δφ/2) + cos(φ₁)·cos(φ₂)·sin²(Δλ/2) ])</t>
  </si>
  <si>
    <t>Where R = 6371 km (Earth's radius), φ = latitude in radians, λ = longitude in radians</t>
  </si>
  <si>
    <t>Point 1  City Name</t>
  </si>
  <si>
    <t>Point 2  City Name</t>
  </si>
  <si>
    <t>Latitude (°N) of point 1</t>
  </si>
  <si>
    <t>Longitude (°E) of Point 1</t>
  </si>
  <si>
    <t>Latitude (°N) of Point 2</t>
  </si>
  <si>
    <t>Longitude (°E) of Point 2</t>
  </si>
  <si>
    <t>Distance Calculator (Haversine Formula)</t>
  </si>
  <si>
    <t>Distance( in Km)</t>
  </si>
  <si>
    <t>bhilwara</t>
  </si>
  <si>
    <t>#just need to write the name of district, it will auto fill the latitude and longitude</t>
  </si>
  <si>
    <t>rampur</t>
  </si>
  <si>
    <t>latitude</t>
  </si>
  <si>
    <t>longitude</t>
  </si>
  <si>
    <t>Name of target district</t>
  </si>
  <si>
    <t>latitude of target district</t>
  </si>
  <si>
    <t>longitude of target district</t>
  </si>
  <si>
    <t xml:space="preserve">Distance from Target </t>
  </si>
  <si>
    <t>Proximity Distance</t>
  </si>
  <si>
    <t>varanasi</t>
  </si>
  <si>
    <t>Total Selected Districts</t>
  </si>
  <si>
    <t>selected districts</t>
  </si>
  <si>
    <t>Min Latitude</t>
  </si>
  <si>
    <t>Max Latitude</t>
  </si>
  <si>
    <t>Min Longitude</t>
  </si>
  <si>
    <t>Max Longitude</t>
  </si>
  <si>
    <t>Name of districts whose centriod lies in the box</t>
  </si>
  <si>
    <t>Total district lies in this box</t>
  </si>
  <si>
    <t>Distance(kM)</t>
  </si>
  <si>
    <t>City</t>
  </si>
  <si>
    <t>Nearest Neighbour</t>
  </si>
  <si>
    <t>id</t>
  </si>
  <si>
    <t>city</t>
  </si>
  <si>
    <t>district</t>
  </si>
  <si>
    <t>std-code</t>
  </si>
  <si>
    <t>state</t>
  </si>
  <si>
    <t>gst-state-code</t>
  </si>
  <si>
    <t>iso_3166-2</t>
  </si>
  <si>
    <t>population</t>
  </si>
  <si>
    <t>rank</t>
  </si>
  <si>
    <t>altitude</t>
  </si>
  <si>
    <t>Distance</t>
  </si>
  <si>
    <t>Slope(%)</t>
  </si>
  <si>
    <t>Slope(degree)</t>
  </si>
  <si>
    <t>Port Blair</t>
  </si>
  <si>
    <t>South Andaman</t>
  </si>
  <si>
    <t>Andaman and Nicobar Islands</t>
  </si>
  <si>
    <t>AN</t>
  </si>
  <si>
    <t>IN-AN</t>
  </si>
  <si>
    <t>Adoni</t>
  </si>
  <si>
    <t>AD</t>
  </si>
  <si>
    <t>IN-AP</t>
  </si>
  <si>
    <t>Amaravati</t>
  </si>
  <si>
    <t>Altitude</t>
  </si>
  <si>
    <t>Bhimavaram</t>
  </si>
  <si>
    <t>West</t>
  </si>
  <si>
    <t>Chilakaluripet</t>
  </si>
  <si>
    <t>Dharmavaram</t>
  </si>
  <si>
    <t>Eluru</t>
  </si>
  <si>
    <t>Gudivada</t>
  </si>
  <si>
    <t>Guntakal</t>
  </si>
  <si>
    <t>Hindupur</t>
  </si>
  <si>
    <t>Kadapa</t>
  </si>
  <si>
    <t>Kakinada</t>
  </si>
  <si>
    <t>Machilipatnam</t>
  </si>
  <si>
    <t>Madanapalle</t>
  </si>
  <si>
    <t>Nandyal</t>
  </si>
  <si>
    <t>Narasaraopet</t>
  </si>
  <si>
    <t>Ongole</t>
  </si>
  <si>
    <t>Proddatur</t>
  </si>
  <si>
    <t>Rajamahendravaram</t>
  </si>
  <si>
    <t>Tadepalligudem</t>
  </si>
  <si>
    <t>Tadipatri</t>
  </si>
  <si>
    <t>Tenali</t>
  </si>
  <si>
    <t>Tirupati</t>
  </si>
  <si>
    <t>Vijayawada</t>
  </si>
  <si>
    <t>Visakhapatnam</t>
  </si>
  <si>
    <t>Itanagar</t>
  </si>
  <si>
    <t>AR</t>
  </si>
  <si>
    <t>IN-AR</t>
  </si>
  <si>
    <t>AS</t>
  </si>
  <si>
    <t>IN-AS</t>
  </si>
  <si>
    <t>Dhubri</t>
  </si>
  <si>
    <t>Guwahati</t>
  </si>
  <si>
    <t>Silchar</t>
  </si>
  <si>
    <t>Tezpur</t>
  </si>
  <si>
    <t>Arrah</t>
  </si>
  <si>
    <t>BR</t>
  </si>
  <si>
    <t>IN-BR</t>
  </si>
  <si>
    <t>Bagaha</t>
  </si>
  <si>
    <t>West Champaran</t>
  </si>
  <si>
    <t>Bettiah</t>
  </si>
  <si>
    <t>Bihar Sharif</t>
  </si>
  <si>
    <t>Chhapra</t>
  </si>
  <si>
    <t>Dehri</t>
  </si>
  <si>
    <t>Hajipur</t>
  </si>
  <si>
    <t>Jamalpur</t>
  </si>
  <si>
    <t>Motihari</t>
  </si>
  <si>
    <t>East Champaran</t>
  </si>
  <si>
    <t>Sasaram</t>
  </si>
  <si>
    <t>CH</t>
  </si>
  <si>
    <t>IN-CH</t>
  </si>
  <si>
    <t>Ambikapur</t>
  </si>
  <si>
    <t>CG</t>
  </si>
  <si>
    <t>IN-CT</t>
  </si>
  <si>
    <t>Chirmiri</t>
  </si>
  <si>
    <t>Jagdalpur</t>
  </si>
  <si>
    <t>Naya Raipur</t>
  </si>
  <si>
    <t>Pakhanjore</t>
  </si>
  <si>
    <t>kanker</t>
  </si>
  <si>
    <t>Rajnandgaon</t>
  </si>
  <si>
    <t>Dadra and Nagar Haveli and Daman and Diu</t>
  </si>
  <si>
    <t>DNHDD</t>
  </si>
  <si>
    <t>IN-DH</t>
  </si>
  <si>
    <t>Silvassa</t>
  </si>
  <si>
    <t>DL</t>
  </si>
  <si>
    <t>IN-DL</t>
  </si>
  <si>
    <t>Margao</t>
  </si>
  <si>
    <t>GA</t>
  </si>
  <si>
    <t>IN-GA</t>
  </si>
  <si>
    <t>Mormugao</t>
  </si>
  <si>
    <t>Panaji</t>
  </si>
  <si>
    <t>Vasco</t>
  </si>
  <si>
    <t>Ahmedabad</t>
  </si>
  <si>
    <t>GJ</t>
  </si>
  <si>
    <t>IN-GJ</t>
  </si>
  <si>
    <t>Ankleshwar</t>
  </si>
  <si>
    <t>Bhuj</t>
  </si>
  <si>
    <t>Kutch</t>
  </si>
  <si>
    <t>Botad</t>
  </si>
  <si>
    <t>Deesa</t>
  </si>
  <si>
    <t>Banaskantha</t>
  </si>
  <si>
    <t>Gandhidham</t>
  </si>
  <si>
    <t>Godhra</t>
  </si>
  <si>
    <t>Panchmahal</t>
  </si>
  <si>
    <t>Gondal</t>
  </si>
  <si>
    <t>Jetpur</t>
  </si>
  <si>
    <t>Kalol</t>
  </si>
  <si>
    <t>Khambhat</t>
  </si>
  <si>
    <t>Mahuva</t>
  </si>
  <si>
    <t>Mehsana</t>
  </si>
  <si>
    <t>Morbi</t>
  </si>
  <si>
    <t>Nadiad</t>
  </si>
  <si>
    <t>Palanpur</t>
  </si>
  <si>
    <t>Vapi</t>
  </si>
  <si>
    <t>Veraval</t>
  </si>
  <si>
    <t>Gir Somnath</t>
  </si>
  <si>
    <t>HR</t>
  </si>
  <si>
    <t>IN-HR</t>
  </si>
  <si>
    <t>Bahadurgarh</t>
  </si>
  <si>
    <t>Palwal</t>
  </si>
  <si>
    <t>Sonipat</t>
  </si>
  <si>
    <t>Thanesar</t>
  </si>
  <si>
    <t>Yamunanagar</t>
  </si>
  <si>
    <t>HP</t>
  </si>
  <si>
    <t>IN-HP</t>
  </si>
  <si>
    <t>Anantnag</t>
  </si>
  <si>
    <t>JK</t>
  </si>
  <si>
    <t>IN-JK</t>
  </si>
  <si>
    <t>Bokaro Steel City</t>
  </si>
  <si>
    <t>JH</t>
  </si>
  <si>
    <t>IN-JH</t>
  </si>
  <si>
    <t>Chirkunda</t>
  </si>
  <si>
    <t>Hazaribagh</t>
  </si>
  <si>
    <t>Jamshedpur</t>
  </si>
  <si>
    <t>East Singhbhum</t>
  </si>
  <si>
    <t>Jhumri Telaiya</t>
  </si>
  <si>
    <t>Medininagar</t>
  </si>
  <si>
    <t>Phusro</t>
  </si>
  <si>
    <t>Ramgarh</t>
  </si>
  <si>
    <t>KA</t>
  </si>
  <si>
    <t>IN-KA</t>
  </si>
  <si>
    <t>Belagavi</t>
  </si>
  <si>
    <t>Ballari</t>
  </si>
  <si>
    <t>Bengaluru</t>
  </si>
  <si>
    <t>Bengaluru Urban</t>
  </si>
  <si>
    <t>Bhadravati</t>
  </si>
  <si>
    <t>Vijayapur</t>
  </si>
  <si>
    <t>Chikkamagallooru</t>
  </si>
  <si>
    <t>Chikkamagaluru</t>
  </si>
  <si>
    <t>Davangere</t>
  </si>
  <si>
    <t>Gangawati</t>
  </si>
  <si>
    <t>Kalburgi</t>
  </si>
  <si>
    <t>Harihar</t>
  </si>
  <si>
    <t>Hospet</t>
  </si>
  <si>
    <t>Hubli</t>
  </si>
  <si>
    <t>Mangalore</t>
  </si>
  <si>
    <t>South Canara</t>
  </si>
  <si>
    <t>Mysuru</t>
  </si>
  <si>
    <t>Ramanagara</t>
  </si>
  <si>
    <t>Ramnagar</t>
  </si>
  <si>
    <t>Ranebennuru</t>
  </si>
  <si>
    <t>Robertsonpet</t>
  </si>
  <si>
    <t>Shivamogga</t>
  </si>
  <si>
    <t>Tumakuru</t>
  </si>
  <si>
    <t>KL</t>
  </si>
  <si>
    <t>IN-KL</t>
  </si>
  <si>
    <t>Calicut</t>
  </si>
  <si>
    <t>Kochi</t>
  </si>
  <si>
    <t>Kothamangalam</t>
  </si>
  <si>
    <t>Manjeri</t>
  </si>
  <si>
    <t>Ponnani</t>
  </si>
  <si>
    <t>Thalassery</t>
  </si>
  <si>
    <t>LD</t>
  </si>
  <si>
    <t>IN-LD</t>
  </si>
  <si>
    <t>MP</t>
  </si>
  <si>
    <t>IN-MP</t>
  </si>
  <si>
    <t>Dhanpuri</t>
  </si>
  <si>
    <t>Itarsi</t>
  </si>
  <si>
    <t>Khandwa</t>
  </si>
  <si>
    <t>Khargone</t>
  </si>
  <si>
    <t>Nagda</t>
  </si>
  <si>
    <t>Pithampur</t>
  </si>
  <si>
    <t>Singrauli</t>
  </si>
  <si>
    <t>Achalpur</t>
  </si>
  <si>
    <t>MH</t>
  </si>
  <si>
    <t>IN-MH</t>
  </si>
  <si>
    <t>Akot</t>
  </si>
  <si>
    <t>Amalner</t>
  </si>
  <si>
    <t>Barshi</t>
  </si>
  <si>
    <t>Beed</t>
  </si>
  <si>
    <t>Bhiwandi</t>
  </si>
  <si>
    <t>Bhusawal</t>
  </si>
  <si>
    <t>Chalisgaon</t>
  </si>
  <si>
    <t>Gondia</t>
  </si>
  <si>
    <t>Hinganghat</t>
  </si>
  <si>
    <t>Ichalkaranji</t>
  </si>
  <si>
    <t>Kamptee</t>
  </si>
  <si>
    <t>Khamgaon</t>
  </si>
  <si>
    <t>Buldhana</t>
  </si>
  <si>
    <t>Malegaon</t>
  </si>
  <si>
    <t>Mumbai</t>
  </si>
  <si>
    <t>Pandharpur</t>
  </si>
  <si>
    <t>Parli</t>
  </si>
  <si>
    <t>Pimpri-Chinchwad</t>
  </si>
  <si>
    <t>Sangli-Miraj-Kupwad</t>
  </si>
  <si>
    <t>Udgir</t>
  </si>
  <si>
    <t>Imphal</t>
  </si>
  <si>
    <t>Imphal West; Imphal East</t>
  </si>
  <si>
    <t>MN</t>
  </si>
  <si>
    <t>IN-MN</t>
  </si>
  <si>
    <t>Shillong</t>
  </si>
  <si>
    <t>East Khassi Hills</t>
  </si>
  <si>
    <t>ML</t>
  </si>
  <si>
    <t>IN-ML</t>
  </si>
  <si>
    <t>Aizwal</t>
  </si>
  <si>
    <t>MZ</t>
  </si>
  <si>
    <t>IN-MZ</t>
  </si>
  <si>
    <t>NL</t>
  </si>
  <si>
    <t>IN-NL</t>
  </si>
  <si>
    <t>Balangir</t>
  </si>
  <si>
    <t>Odisha</t>
  </si>
  <si>
    <t>OD</t>
  </si>
  <si>
    <t>IN-OR</t>
  </si>
  <si>
    <t>Balasore</t>
  </si>
  <si>
    <t>Baripada</t>
  </si>
  <si>
    <t>Berhampur</t>
  </si>
  <si>
    <t>Bhubaneswar</t>
  </si>
  <si>
    <t>Khurda</t>
  </si>
  <si>
    <t>Jeypore</t>
  </si>
  <si>
    <t>Rourkela</t>
  </si>
  <si>
    <t>PY</t>
  </si>
  <si>
    <t>IN-PY</t>
  </si>
  <si>
    <t>Ozhukarai</t>
  </si>
  <si>
    <t>Abohar</t>
  </si>
  <si>
    <t>Fazilka</t>
  </si>
  <si>
    <t>PB</t>
  </si>
  <si>
    <t>IN-PB</t>
  </si>
  <si>
    <t>Barnala</t>
  </si>
  <si>
    <t>Batala</t>
  </si>
  <si>
    <t>Khanna</t>
  </si>
  <si>
    <t>Malerkotla</t>
  </si>
  <si>
    <t>Mohali</t>
  </si>
  <si>
    <t>Muktasar</t>
  </si>
  <si>
    <t>Pathankot</t>
  </si>
  <si>
    <t>Phagwara</t>
  </si>
  <si>
    <t>Rajpura</t>
  </si>
  <si>
    <t>Zirakpur</t>
  </si>
  <si>
    <t>RJ</t>
  </si>
  <si>
    <t>IN-RJ</t>
  </si>
  <si>
    <t>Beawar</t>
  </si>
  <si>
    <t>Bhiwadi</t>
  </si>
  <si>
    <t>Chittorgarh</t>
  </si>
  <si>
    <t>Dholpur</t>
  </si>
  <si>
    <t>Gangapur</t>
  </si>
  <si>
    <t>Hindaun</t>
  </si>
  <si>
    <t>Jhunjhunu</t>
  </si>
  <si>
    <t>Kishangarh</t>
  </si>
  <si>
    <t>Makrana</t>
  </si>
  <si>
    <t>Sardarshahar</t>
  </si>
  <si>
    <t>Sri Ganganagar</t>
  </si>
  <si>
    <t>Sujangarh</t>
  </si>
  <si>
    <t>Gangtok</t>
  </si>
  <si>
    <t>East Sikkim</t>
  </si>
  <si>
    <t>SK</t>
  </si>
  <si>
    <t>IN-SK</t>
  </si>
  <si>
    <t>Ambur</t>
  </si>
  <si>
    <t>TN</t>
  </si>
  <si>
    <t>IN-TN</t>
  </si>
  <si>
    <t>Gudiyatham</t>
  </si>
  <si>
    <t>Hosur</t>
  </si>
  <si>
    <t>Krishnagiri</t>
  </si>
  <si>
    <t>Kadayanallur</t>
  </si>
  <si>
    <t>Tirunelveli</t>
  </si>
  <si>
    <t>Kanchipuram</t>
  </si>
  <si>
    <t>Karaikudi</t>
  </si>
  <si>
    <t>Komarapalayam</t>
  </si>
  <si>
    <t>Kovilpatti</t>
  </si>
  <si>
    <t>Kumbakonam</t>
  </si>
  <si>
    <t>Nagercoil</t>
  </si>
  <si>
    <t>Kanyakumari</t>
  </si>
  <si>
    <t>Neyveli</t>
  </si>
  <si>
    <t>Ooty</t>
  </si>
  <si>
    <t>Nilgiri</t>
  </si>
  <si>
    <t>Paramakudi</t>
  </si>
  <si>
    <t>Pollachi</t>
  </si>
  <si>
    <t>Rajapalayam</t>
  </si>
  <si>
    <t>Theni-Allinagaram</t>
  </si>
  <si>
    <t>Tiruchengode</t>
  </si>
  <si>
    <t>Tiruchirappalli</t>
  </si>
  <si>
    <t>Tirupur</t>
  </si>
  <si>
    <t>Tiruppur</t>
  </si>
  <si>
    <t>Tuticorin</t>
  </si>
  <si>
    <t>Thoothukkudi</t>
  </si>
  <si>
    <t>Vaniyambadi</t>
  </si>
  <si>
    <t>Viluppuram</t>
  </si>
  <si>
    <t>Telangana</t>
  </si>
  <si>
    <t>TS</t>
  </si>
  <si>
    <t>IN-TG</t>
  </si>
  <si>
    <t>Jagtial</t>
  </si>
  <si>
    <t>Kothagudem</t>
  </si>
  <si>
    <t>Mancherial</t>
  </si>
  <si>
    <t>Miryalaguda</t>
  </si>
  <si>
    <t>Ramagundam</t>
  </si>
  <si>
    <t>Siddipet</t>
  </si>
  <si>
    <t>Suryapet</t>
  </si>
  <si>
    <t>Agartala</t>
  </si>
  <si>
    <t>TR</t>
  </si>
  <si>
    <t>IN-TR</t>
  </si>
  <si>
    <t>UP</t>
  </si>
  <si>
    <t>IN-UP</t>
  </si>
  <si>
    <t>Akbarpur</t>
  </si>
  <si>
    <t>Amroha</t>
  </si>
  <si>
    <t>Barabanki</t>
  </si>
  <si>
    <t>Baraut</t>
  </si>
  <si>
    <t>Baghput</t>
  </si>
  <si>
    <t>Bhadohi</t>
  </si>
  <si>
    <t>Sant Ravidas Nagar</t>
  </si>
  <si>
    <t>Budaun</t>
  </si>
  <si>
    <t>Chandausi</t>
  </si>
  <si>
    <t>Sambhal</t>
  </si>
  <si>
    <t>Dadri</t>
  </si>
  <si>
    <t>Deoband</t>
  </si>
  <si>
    <t>Greater Noida</t>
  </si>
  <si>
    <t>Gautam Budh Nagar</t>
  </si>
  <si>
    <t>Hapur</t>
  </si>
  <si>
    <t>Kasganj</t>
  </si>
  <si>
    <t>Khair</t>
  </si>
  <si>
    <t>Khatauli</t>
  </si>
  <si>
    <t>Khurja</t>
  </si>
  <si>
    <t>Modinagar</t>
  </si>
  <si>
    <t>Mubarakpur</t>
  </si>
  <si>
    <t>Mughalsarai</t>
  </si>
  <si>
    <t>Muradnagar</t>
  </si>
  <si>
    <t>Nagina</t>
  </si>
  <si>
    <t>Najibabad</t>
  </si>
  <si>
    <t>Noida</t>
  </si>
  <si>
    <t>Orai</t>
  </si>
  <si>
    <t>Raebareli</t>
  </si>
  <si>
    <t>Sahaswan</t>
  </si>
  <si>
    <t>Shamli</t>
  </si>
  <si>
    <t>Shikohabad</t>
  </si>
  <si>
    <t>Tanda</t>
  </si>
  <si>
    <t>Ujhani</t>
  </si>
  <si>
    <t>Dehradun</t>
  </si>
  <si>
    <t>Uttarakhand</t>
  </si>
  <si>
    <t>UK</t>
  </si>
  <si>
    <t>IN-UT</t>
  </si>
  <si>
    <t>Haldwani</t>
  </si>
  <si>
    <t>Nainital</t>
  </si>
  <si>
    <t>Kashipur</t>
  </si>
  <si>
    <t>Rishikesh</t>
  </si>
  <si>
    <t>Roorkee</t>
  </si>
  <si>
    <t>Rudrapur</t>
  </si>
  <si>
    <t>Alipurduar</t>
  </si>
  <si>
    <t>WB</t>
  </si>
  <si>
    <t>IN-WB</t>
  </si>
  <si>
    <t>Asansol</t>
  </si>
  <si>
    <t>Bardhaman</t>
  </si>
  <si>
    <t>Baharampur</t>
  </si>
  <si>
    <t>Balurghat</t>
  </si>
  <si>
    <t>Bangaon</t>
  </si>
  <si>
    <t>Basirhat</t>
  </si>
  <si>
    <t>Bolpur</t>
  </si>
  <si>
    <t>Chakdaha</t>
  </si>
  <si>
    <t>Cooch Behar</t>
  </si>
  <si>
    <t>Dankuni</t>
  </si>
  <si>
    <t>Hooghly</t>
  </si>
  <si>
    <t>Darjeeling</t>
  </si>
  <si>
    <t>Dhulian</t>
  </si>
  <si>
    <t>Durgapur</t>
  </si>
  <si>
    <t>Habra</t>
  </si>
  <si>
    <t>Haldia</t>
  </si>
  <si>
    <t>Purba Medinipur</t>
  </si>
  <si>
    <t>Jangipur</t>
  </si>
  <si>
    <t>Kanthi</t>
  </si>
  <si>
    <t>Midnapore East</t>
  </si>
  <si>
    <t>Kharagpur</t>
  </si>
  <si>
    <t>Paschim Medinipur</t>
  </si>
  <si>
    <t>Krishnanagar</t>
  </si>
  <si>
    <t>Malda</t>
  </si>
  <si>
    <t>Midnapore</t>
  </si>
  <si>
    <t>Nabadwip</t>
  </si>
  <si>
    <t>Purulia</t>
  </si>
  <si>
    <t>Raiganj</t>
  </si>
  <si>
    <t>Ranaghat</t>
  </si>
  <si>
    <t>Shantipur</t>
  </si>
  <si>
    <t>Siliguri</t>
  </si>
  <si>
    <t>Darjeeling; Jalpaiguri</t>
  </si>
  <si>
    <t xml:space="preserve">    </t>
  </si>
  <si>
    <t>Direction</t>
  </si>
  <si>
    <t>Bearing(degree)</t>
  </si>
  <si>
    <t>Bearing w.r.t. city</t>
  </si>
  <si>
    <t>west midnapore</t>
  </si>
  <si>
    <t>Slope W.r.t. City</t>
  </si>
  <si>
    <t>Select within distance</t>
  </si>
  <si>
    <t>Rectangle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</si>
</sst>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0000;[Red]0.00000000000000"/>
    <numFmt numFmtId="166" formatCode="0.000000000000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1F3864"/>
      <name val="Arial"/>
      <family val="2"/>
    </font>
    <font>
      <sz val="10"/>
      <color rgb="FF000000"/>
      <name val="Arial"/>
      <family val="2"/>
    </font>
    <font>
      <b/>
      <sz val="16"/>
      <color theme="1"/>
      <name val="Aptos Narrow"/>
      <scheme val="minor"/>
    </font>
    <font>
      <i/>
      <sz val="9"/>
      <color theme="1"/>
      <name val="Arial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0"/>
      <color theme="1"/>
      <name val="Arial Unicode MS"/>
      <family val="2"/>
    </font>
    <font>
      <sz val="12"/>
      <color rgb="FF000000"/>
      <name val="Aptos Narrow"/>
      <family val="2"/>
      <scheme val="minor"/>
    </font>
    <font>
      <b/>
      <sz val="16"/>
      <color rgb="FFFFFFFF"/>
      <name val="Arial"/>
      <family val="2"/>
    </font>
    <font>
      <b/>
      <sz val="11"/>
      <color theme="1"/>
      <name val="Aptos Narrow"/>
      <scheme val="minor"/>
    </font>
    <font>
      <sz val="11"/>
      <color rgb="FF333333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2"/>
      <color theme="0"/>
      <name val="Aptos Narrow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0" borderId="0" xfId="0" quotePrefix="1"/>
    <xf numFmtId="0" fontId="22" fillId="0" borderId="10" xfId="0" applyFont="1" applyBorder="1" applyAlignment="1">
      <alignment vertical="center"/>
    </xf>
    <xf numFmtId="0" fontId="24" fillId="0" borderId="0" xfId="0" applyFont="1"/>
    <xf numFmtId="164" fontId="23" fillId="0" borderId="10" xfId="0" applyNumberFormat="1" applyFont="1" applyBorder="1"/>
    <xf numFmtId="0" fontId="26" fillId="0" borderId="0" xfId="0" applyFont="1"/>
    <xf numFmtId="0" fontId="27" fillId="0" borderId="0" xfId="0" applyFont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 shrinkToFit="1"/>
    </xf>
    <xf numFmtId="0" fontId="0" fillId="36" borderId="0" xfId="0" applyFill="1"/>
    <xf numFmtId="0" fontId="28" fillId="0" borderId="0" xfId="0" applyFont="1"/>
    <xf numFmtId="0" fontId="29" fillId="0" borderId="0" xfId="0" applyFont="1"/>
    <xf numFmtId="0" fontId="29" fillId="37" borderId="0" xfId="0" applyFont="1" applyFill="1"/>
    <xf numFmtId="0" fontId="29" fillId="38" borderId="0" xfId="0" applyFont="1" applyFill="1"/>
    <xf numFmtId="0" fontId="29" fillId="38" borderId="0" xfId="0" applyFont="1" applyFill="1" applyAlignment="1">
      <alignment vertical="top" wrapText="1"/>
    </xf>
    <xf numFmtId="0" fontId="29" fillId="38" borderId="0" xfId="0" applyFont="1" applyFill="1" applyAlignment="1">
      <alignment vertical="top"/>
    </xf>
    <xf numFmtId="0" fontId="32" fillId="0" borderId="0" xfId="0" applyFont="1"/>
    <xf numFmtId="2" fontId="0" fillId="0" borderId="0" xfId="0" quotePrefix="1" applyNumberFormat="1"/>
    <xf numFmtId="2" fontId="0" fillId="0" borderId="0" xfId="0" applyNumberFormat="1"/>
    <xf numFmtId="0" fontId="31" fillId="39" borderId="0" xfId="0" applyFont="1" applyFill="1"/>
    <xf numFmtId="0" fontId="0" fillId="40" borderId="0" xfId="0" applyFill="1"/>
    <xf numFmtId="0" fontId="24" fillId="41" borderId="0" xfId="0" applyFont="1" applyFill="1" applyAlignment="1">
      <alignment horizontal="center" vertical="center"/>
    </xf>
    <xf numFmtId="0" fontId="0" fillId="41" borderId="0" xfId="0" applyFill="1"/>
    <xf numFmtId="0" fontId="24" fillId="41" borderId="0" xfId="0" applyFont="1" applyFill="1" applyAlignment="1">
      <alignment horizontal="center" vertical="center" wrapText="1"/>
    </xf>
    <xf numFmtId="0" fontId="17" fillId="42" borderId="0" xfId="0" applyFont="1" applyFill="1" applyAlignment="1">
      <alignment horizontal="center" vertical="center" wrapText="1"/>
    </xf>
    <xf numFmtId="0" fontId="17" fillId="42" borderId="0" xfId="0" applyFont="1" applyFill="1"/>
    <xf numFmtId="165" fontId="0" fillId="0" borderId="0" xfId="0" quotePrefix="1" applyNumberFormat="1" applyProtection="1">
      <protection locked="0"/>
    </xf>
    <xf numFmtId="165" fontId="0" fillId="0" borderId="0" xfId="0" applyNumberFormat="1" applyProtection="1">
      <protection locked="0"/>
    </xf>
    <xf numFmtId="166" fontId="0" fillId="0" borderId="0" xfId="0" quotePrefix="1" applyNumberFormat="1"/>
    <xf numFmtId="0" fontId="0" fillId="43" borderId="0" xfId="0" applyFill="1"/>
    <xf numFmtId="0" fontId="22" fillId="0" borderId="11" xfId="0" applyFont="1" applyBorder="1" applyAlignment="1">
      <alignment vertical="center"/>
    </xf>
    <xf numFmtId="164" fontId="23" fillId="0" borderId="11" xfId="0" applyNumberFormat="1" applyFont="1" applyBorder="1"/>
    <xf numFmtId="0" fontId="21" fillId="0" borderId="12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35" fillId="0" borderId="0" xfId="0" applyFont="1"/>
    <xf numFmtId="0" fontId="36" fillId="44" borderId="0" xfId="0" applyFont="1" applyFill="1"/>
    <xf numFmtId="0" fontId="36" fillId="49" borderId="0" xfId="0" applyFont="1" applyFill="1"/>
    <xf numFmtId="0" fontId="36" fillId="46" borderId="0" xfId="0" applyFont="1" applyFill="1"/>
    <xf numFmtId="0" fontId="34" fillId="44" borderId="0" xfId="0" applyFont="1" applyFill="1"/>
    <xf numFmtId="0" fontId="37" fillId="50" borderId="0" xfId="0" applyFont="1" applyFill="1"/>
    <xf numFmtId="0" fontId="18" fillId="33" borderId="12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0" fillId="35" borderId="12" xfId="0" applyFont="1" applyFill="1" applyBorder="1" applyAlignment="1">
      <alignment horizontal="center" vertical="center" wrapText="1"/>
    </xf>
    <xf numFmtId="0" fontId="33" fillId="45" borderId="12" xfId="0" applyFont="1" applyFill="1" applyBorder="1" applyAlignment="1">
      <alignment horizontal="center" wrapText="1"/>
    </xf>
    <xf numFmtId="0" fontId="20" fillId="46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0" fillId="36" borderId="0" xfId="0" applyFont="1" applyFill="1" applyAlignment="1">
      <alignment horizontal="center"/>
    </xf>
    <xf numFmtId="0" fontId="0" fillId="47" borderId="0" xfId="0" applyFill="1" applyAlignment="1">
      <alignment horizontal="center"/>
    </xf>
    <xf numFmtId="0" fontId="38" fillId="46" borderId="0" xfId="0" applyFont="1" applyFill="1" applyAlignment="1">
      <alignment horizontal="center"/>
    </xf>
    <xf numFmtId="0" fontId="29" fillId="48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6DC2E3-F0F3-1C40-A5F3-5A308FE7C84A}">
  <we:reference id="wa200004179" version="2026.1.0.0" store="en-US" storeType="OMEX"/>
  <we:alternateReferences>
    <we:reference id="wa200004179" version="2026.1.0.0" store="wa200004179" storeType="OMEX"/>
  </we:alternateReferences>
  <we:properties>
    <we:property name="app-config" value="&quot;{\&quot;map\&quot;:{\&quot;webmap\&quot;:{\&quot;is3d\&quot;:false,\&quot;lockedExtent\&quot;:{\&quot;spatialReference\&quot;:{\&quot;latestWkid\&quot;:3857,\&quot;wkid\&quot;:102100},\&quot;xmin\&quot;:6562577.500450449,\&quot;ymin\&quot;:961272.0677141517,\&quot;xmax\&quot;:11043621.84663943,\&quot;ymax\&quot;:4415002.753750637},\&quot;itemData\&quot;:{\&quot;operationalLayers\&quot;:[{\&quot;id\&quot;:\&quot;19da192b9de-layer-3\&quot;,\&quot;visibility\&quot;:true,\&quot;opacity\&quot;:1,\&quot;minScale\&quot;:0,\&quot;maxScale\&quot;:0,\&quot;refreshInterval\&quot;:0,\&quot;title\&quot;:\&quot;'district wise centroids'!B1:D595\&quot;,\&quot;objectIdField\&quot;:\&quot;objectId\&quot;,\&quot;type\&quot;:\&quot;DataLayer\&quot;,\&quot;layerType\&quot;:\&quot;ArcGISFeatureLayer\&quot;,\&quot;popupEnabled\&quot;:true,\&quot;disablePopup\&quot;:false,\&quot;visible\&quot;:true,\&quot;geometryType\&quot;:\&quot;point\&quot;,\&quot;source\&quot;:[{\&quot;attributes\&quot;:{},\&quot;geometry\&quot;:{\&quot;x\&quot;:0,\&quot;y\&quot;:0,\&quot;type\&quot;:\&quot;point\&quot;,\&quot;spatialReference\&quot;:{\&quot;latestWkid\&quot;:3857,\&quot;wkid\&quot;:102100}}}],\&quot;spatialReference\&quot;:{\&quot;latestWkid\&quot;:3857,\&quot;wkid\&quot;:102100},\&quot;esriMaps\&quot;:{\&quot;customProps\&quot;:{\&quot;dataTableType\&quot;:\&quot;CellRangeWithHeader\&quot;,\&quot;filteringSelectedFeatures\&quot;:false},\&quot;isTimeEnabled\&quot;:\&quot;false\&quot;,\&quot;clusterInfo\&quot;:null,\&quot;lastShareInfo\&quot;:null},\&quot;timeInfo\&quot;:null,\&quot;showLabels\&quot;:true,\&quot;featureCollection\&quot;:{\&quot;layers\&quot;:[{\&quot;popupInfo\&quot;:{\&quot;popupElements\&quot;:[{\&quot;type\&quot;:\&quot;fields\&quot;,\&quot;fieldInfos\&quot;:[{\&quot;fieldName\&quot;:\&quot;expression/excel_row_id\&quot;,\&quot;isEditable\&quot;:true,\&quot;label\&quot;:\&quot;rowId\&quot;,\&quot;visible\&quot;:true},{\&quot;fieldName\&quot;:\&quot;FIELD_NAME_B\&quot;,\&quot;isEditable\&quot;:true,\&quot;label\&quot;:\&quot;District\&quot;,\&quot;tooltip\&quot;:\&quot;\&quot;,\&quot;visible\&quot;:true},{\&quot;fieldName\&quot;:\&quot;expression/FIELD_NAME_C\&quot;,\&quot;isEditable\&quot;:true,\&quot;label\&quot;:\&quot;Latitude\&quot;,\&quot;visible\&quot;:true},{\&quot;fieldName\&quot;:\&quot;expression/FIELD_NAME_D\&quot;,\&quot;isEditable\&quot;:true,\&quot;label\&quot;:\&quot;Longitude\&quot;,\&quot;visible\&quot;:true}]}],\&quot;expressionInfos\&quot;:[{\&quot;name\&quot;:\&quot;excel_row_id\&quot;,\&quot;title\&quot;:\&quot;rowId\&quot;,\&quot;expression\&quot;:\&quot;Text($feature[\\\&quot;excel_row_id\\\&quot;], \\\&quot;#.##############################\\\&quot;)\&quot;},{\&quot;name\&quot;:\&quot;FIELD_NAME_C\&quot;,\&quot;title\&quot;:\&quot;Latitude\&quot;,\&quot;expression\&quot;:\&quot;// Excel number format: 0.00000000000000;[Red]0.00000000000000\\n\\nif (IsEmpty($feature[\\\&quot;FIELD_NAME_C\\\&quot;]))\\n{\\n  return $feature[\\\&quot;FIELD_NAME_C\\\&quot;] \\n}\\nif (Typeof($feature[\\\&quot;FIELD_NAME_C\\\&quot;]) != \\\&quot;Date\\\&quot; &amp;&amp; $feature[\\\&quot;FIELD_NAME_C\\\&quot;] &lt; 0)\\n{\\n  return Text(Abs($feature[\\\&quot;FIELD_NAME_C\\\&quot;]), \\\&quot;#0.00000000000000\\\&quot;) \\n} else\\n{\\n  return Text($feature[\\\&quot;FIELD_NAME_C\\\&quot;], \\\&quot;#0.00000000000000\\\&quot;) \\n}\&quot;},{\&quot;name\&quot;:\&quot;FIELD_NAME_D\&quot;,\&quot;title\&quot;:\&quot;Longitude\&quot;,\&quot;expression\&quot;:\&quot;// Excel number format: 0.00\\n\\nif (IsEmpty($feature[\\\&quot;FIELD_NAME_D\\\&quot;]))\\n{\\n  return $feature[\\\&quot;FIELD_NAME_D\\\&quot;] \\n}\\nText($feature[\\\&quot;FIELD_NAME_D\\\&quot;], \\\&quot;#0.00\\\&quot;)\&quot;}],\&quot;fieldInfos\&quot;:[{\&quot;fieldName\&quot;:\&quot;objectId\&quot;,\&quot;isEditable\&quot;:true,\&quot;label\&quot;:\&quot;objectId\&quot;,\&quot;tooltip\&quot;:\&quot;\&quot;,\&quot;visible\&quot;:false},{\&quot;fieldName\&quot;:\&quot;excel_row_id\&quot;,\&quot;format\&quot;:{\&quot;digitSeparator\&quot;:true,\&quot;places\&quot;:2},\&quot;isEditable\&quot;:true,\&quot;label\&quot;:\&quot;rowId\&quot;,\&quot;tooltip\&quot;:\&quot;\&quot;,\&quot;visible\&quot;:false},{\&quot;fieldName\&quot;:\&quot;expression/excel_row_id\&quot;,\&quot;isEditable\&quot;:true,\&quot;label\&quot;:\&quot;rowId\&quot;,\&quot;visible\&quot;:true},{\&quot;fieldName\&quot;:\&quot;FIELD_NAME_B\&quot;,\&quot;isEditable\&quot;:true,\&quot;label\&quot;:\&quot;District\&quot;,\&quot;tooltip\&quot;:\&quot;\&quot;,\&quot;visible\&quot;:true},{\&quot;fieldName\&quot;:\&quot;FIELD_NAME_C\&quot;,\&quot;isEditable\&quot;:true,\&quot;label\&quot;:\&quot;Latitude\&quot;,\&quot;tooltip\&quot;:\&quot;\&quot;,\&quot;visible\&quot;:false},{\&quot;fieldName\&quot;:\&quot;expression/FIELD_NAME_C\&quot;,\&quot;isEditable\&quot;:true,\&quot;label\&quot;:\&quot;Latitude\&quot;,\&quot;visible\&quot;:true},{\&quot;fieldName\&quot;:\&quot;FIELD_NAME_D\&quot;,\&quot;isEditable\&quot;:true,\&quot;label\&quot;:\&quot;Longitude\&quot;,\&quot;tooltip\&quot;:\&quot;\&quot;,\&quot;visible\&quot;:false},{\&quot;fieldName\&quot;:\&quot;expression/FIELD_NAME_D\&quot;,\&quot;isEditable\&quot;:true,\&quot;label\&quot;:\&quot;Longitude\&quot;,\&quot;visible\&quot;:true}],\&quot;title\&quot;:\&quot;\&quot;,\&quot;actions\&quot;:[{\&quot;title\&quot;:\&quot;Select row\&quot;,\&quot;id\&quot;:\&quot;select-row\&quot;,\&quot;className\&quot;:null}]},\&quot;effect\&quot;:null,\&quot;layerDefinition\&quot;:{\&quot;objectIdField\&quot;:\&quot;objectId\&quot;,\&quot;fields\&quot;:[{\&quot;alias\&quot;:\&quot;objectId\&quot;,\&quot;editable\&quot;:true,\&quot;name\&quot;:\&quot;objectId\&quot;,\&quot;nullable\&quot;:true,\&quot;type\&quot;:\&quot;esriFieldTypeOID\&quot;},{\&quot;alias\&quot;:\&quot;rowId\&quot;,\&quot;editable\&quot;:true,\&quot;name\&quot;:\&quot;excel_row_id\&quot;,\&quot;nullable\&quot;:true,\&quot;type\&quot;:\&quot;esriFieldTypeDouble\&quot;},{\&quot;alias\&quot;:\&quot;District\&quot;,\&quot;editable\&quot;:true,\&quot;length\&quot;:-1,\&quot;name\&quot;:\&quot;FIELD_NAME_B\&quot;,\&quot;nullable\&quot;:true,\&quot;type\&quot;:\&quot;esriFieldTypeString\&quot;},{\&quot;alias\&quot;:\&quot;Latitude\&quot;,\&quot;editable\&quot;:true,\&quot;length\&quot;:-1,\&quot;name\&quot;:\&quot;FIELD_NAME_C\&quot;,\&quot;nullable\&quot;:true,\&quot;type\&quot;:\&quot;esriFieldTypeString\&quot;},{\&quot;alias\&quot;:\&quot;Longitude\&quot;,\&quot;editable\&quot;:true,\&quot;length\&quot;:-1,\&quot;name\&quot;:\&quot;FIELD_NAME_D\&quot;,\&quot;nullable\&quot;:true,\&quot;type\&quot;:\&quot;esriFieldTypeString\&quot;}],\&quot;geometryType\&quot;:\&quot;point\&quot;,\&quot;drawingInfo\&quot;:{\&quot;renderer\&quot;:{\&quot;type\&quot;:\&quot;simple\&quot;,\&quot;symbol\&quot;:{\&quot;type\&quot;:\&quot;esriSMS\&quot;,\&quot;color\&quot;:[29,111,66,230],\&quot;angle\&quot;:0,\&quot;xoffset\&quot;:0,\&quot;yoffset\&quot;:0,\&quot;size\&quot;:10,\&quot;style\&quot;:\&quot;esriSMSCircle\&quot;,\&quot;outline\&quot;:{\&quot;type\&quot;:\&quot;esriSLS\&quot;,\&quot;color\&quot;:[255,255,255,230],\&quot;width\&quot;:1,\&quot;style\&quot;:\&quot;esriSLSSolid\&quot;}}},\&quot;transparency\&quot;:0},\&quot;featureReduction\&quot;:null,\&quot;locationProvider\&quot;:{\&quot;type\&quot;:\&quot;coordinates\&quot;,\&quot;lookupFields\&quot;:[{\&quot;lookupField\&quot;:\&quot;xFieldName\&quot;,\&quot;outField\&quot;:\&quot;FIELD_NAME_D\&quot;},{\&quot;lookupField\&quot;:\&quot;yFieldName\&quot;,\&quot;outField\&quot;:\&quot;FIELD_NAME_C\&quot;}],\&quot;sourceSR\&quot;:4326,\&quot;targetSR\&quot;:102100},\&quot;minScale\&quot;:0,\&quot;maxScale\&quot;:0,\&quot;definitionExpression\&quot;:null,\&quot;templates\&quot;:[{\&quot;name\&quot;:\&quot;New Feature\&quot;,\&quot;description\&quot;:\&quot;\&quot;,\&quot;prototype\&quot;:{\&quot;attributes\&quot;:{\&quot;excel_row_id\&quot;:null,\&quot;FIELD_NAME_B\&quot;:null,\&quot;FIELD_NAME_C\&quot;:null,\&quot;FIELD_NAME_D\&quot;:null}}}],\&quot;elevationInfo\&quot;:null,\&quot;name\&quot;:\&quot;'district wise centroids'!B1:D595\&quot;,\&quot;type\&quot;:\&quot;DataLayer\&quot;,\&quot;queryParameters\&quot;:{\&quot;tableId\&quot;:\&quot;cellRange-XQFdy\&quot;}},\&quot;featureSet\&quot;:{\&quot;features\&quot;:[{\&quot;attributes\&quot;:{},\&quot;geometry\&quot;:{\&quot;x\&quot;:0,\&quot;y\&quot;:0,\&quot;type\&quot;:\&quot;point\&quot;,\&quot;spatialReference\&quot;:{\&quot;latestWkid\&quot;:3857,\&quot;wkid\&quot;:102100}}}]}}]}}],\&quot;tables\&quot;:[],\&quot;baseMap\&quot;:{\&quot;baseMapLayers\&quot;:[{\&quot;id\&quot;:\&quot;World_Hillshade_1081\&quot;,\&quot;opacity\&quot;:1,\&quot;title\&quot;:\&quot;World_Hillshade\&quot;,\&quot;url\&quot;:\&quot;https://services.arcgisonline.com/arcgis/rest/services/Elevation/World_Hillshade/MapServer\&quot;,\&quot;visibility\&quot;:true,\&quot;layerType\&quot;:\&quot;ArcGISTiledMapServiceLayer\&quot;},{\&quot;id\&quot;:\&quot;VectorTile_2365\&quot;,\&quot;opacity\&quot;:1,\&quot;title\&quot;:\&quot;World Topographic Map - India\&quot;,\&quot;visibility\&quot;:true,\&quot;layerType\&quot;:\&quot;VectorTileLayer\&quot;,\&quot;styleUrl\&quot;:\&quot;https://cdn.arcgis.com/sharing/rest/content/items/3731ffe6b1b64168b9c3a4381698afee/resources/styles/root.json\&quot;}],\&quot;title\&quot;:\&quot;Topographic\&quot;},\&quot;version\&quot;:\&quot;2.26\&quot;,\&quot;authoringApp\&quot;:\&quot;ArcGIS for Excel\&quot;,\&quot;authoringAppVersion\&quot;:\&quot;2026.1.0.0.61\&quot;,\&quot;bookmarks\&quot;:[],\&quot;initialState\&quot;:{\&quot;viewpoint\&quot;:{\&quot;targetGeometry\&quot;:{\&quot;spatialReference\&quot;:{\&quot;latestWkid\&quot;:3857,\&quot;wkid\&quot;:102100},\&quot;xmin\&quot;:6562577.500450449,\&quot;ymin\&quot;:961272.0677141517,\&quot;xmax\&quot;:11043621.84663943,\&quot;ymax\&quot;:4415002.753750637}}}}},\&quot;webmapExtensions\&quot;:{\&quot;format\&quot;:2}}}&quot;"/>
    <we:property name="arcgis-connection" value="&quot;{\&quot;portalUrl\&quot;:\&quot;https://www.arcgis.com\&quot;}&quot;"/>
  </we:properties>
  <we:bindings>
    <we:binding id="cellRange-XQFdy" type="matrix" appref="{8E579677-F0FF-AF40-99B1-8A474F5275A3}"/>
    <we:binding id="cellRange-vjact" type="matrix" appref="{76B67B07-9614-3C46-9F4E-8F46AFA955A3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30B1-AA87-3A4D-B614-248940659112}">
  <dimension ref="A1:D595"/>
  <sheetViews>
    <sheetView tabSelected="1" zoomScale="68" workbookViewId="0">
      <selection activeCell="E35" sqref="E35"/>
    </sheetView>
  </sheetViews>
  <sheetFormatPr baseColWidth="10" defaultRowHeight="16" x14ac:dyDescent="0.2"/>
  <cols>
    <col min="1" max="1" width="29.33203125" customWidth="1"/>
    <col min="2" max="2" width="23" customWidth="1"/>
    <col min="3" max="3" width="33.33203125" customWidth="1"/>
    <col min="4" max="4" width="30.33203125" customWidth="1"/>
  </cols>
  <sheetData>
    <row r="1" spans="1:4" s="3" customFormat="1" ht="22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t="s">
        <v>4</v>
      </c>
      <c r="B2" t="s">
        <v>5</v>
      </c>
      <c r="C2" s="26" t="s">
        <v>6</v>
      </c>
      <c r="D2" s="17" t="s">
        <v>7</v>
      </c>
    </row>
    <row r="3" spans="1:4" x14ac:dyDescent="0.2">
      <c r="A3" t="s">
        <v>4</v>
      </c>
      <c r="B3" t="s">
        <v>8</v>
      </c>
      <c r="C3" s="26" t="s">
        <v>9</v>
      </c>
      <c r="D3" s="17" t="s">
        <v>10</v>
      </c>
    </row>
    <row r="4" spans="1:4" x14ac:dyDescent="0.2">
      <c r="A4" t="s">
        <v>11</v>
      </c>
      <c r="B4" t="s">
        <v>12</v>
      </c>
      <c r="C4" s="26" t="s">
        <v>13</v>
      </c>
      <c r="D4" s="17" t="s">
        <v>14</v>
      </c>
    </row>
    <row r="5" spans="1:4" x14ac:dyDescent="0.2">
      <c r="A5" t="s">
        <v>11</v>
      </c>
      <c r="B5" t="s">
        <v>15</v>
      </c>
      <c r="C5" s="26" t="s">
        <v>16</v>
      </c>
      <c r="D5" s="18">
        <v>77.460158447857694</v>
      </c>
    </row>
    <row r="6" spans="1:4" x14ac:dyDescent="0.2">
      <c r="A6" t="s">
        <v>11</v>
      </c>
      <c r="B6" t="s">
        <v>17</v>
      </c>
      <c r="C6" s="26" t="s">
        <v>18</v>
      </c>
      <c r="D6" s="17" t="s">
        <v>19</v>
      </c>
    </row>
    <row r="7" spans="1:4" x14ac:dyDescent="0.2">
      <c r="A7" t="s">
        <v>11</v>
      </c>
      <c r="B7" t="s">
        <v>20</v>
      </c>
      <c r="C7" s="26" t="s">
        <v>21</v>
      </c>
      <c r="D7" s="17" t="s">
        <v>22</v>
      </c>
    </row>
    <row r="8" spans="1:4" x14ac:dyDescent="0.2">
      <c r="A8" t="s">
        <v>11</v>
      </c>
      <c r="B8" t="s">
        <v>23</v>
      </c>
      <c r="C8" s="26" t="s">
        <v>24</v>
      </c>
      <c r="D8" s="18">
        <v>82.243207472051097</v>
      </c>
    </row>
    <row r="9" spans="1:4" x14ac:dyDescent="0.2">
      <c r="A9" t="s">
        <v>11</v>
      </c>
      <c r="B9" t="s">
        <v>25</v>
      </c>
      <c r="C9" s="26" t="s">
        <v>26</v>
      </c>
      <c r="D9" s="17" t="s">
        <v>27</v>
      </c>
    </row>
    <row r="10" spans="1:4" x14ac:dyDescent="0.2">
      <c r="A10" t="s">
        <v>11</v>
      </c>
      <c r="B10" t="s">
        <v>28</v>
      </c>
      <c r="C10" s="26" t="s">
        <v>29</v>
      </c>
      <c r="D10" s="17" t="s">
        <v>30</v>
      </c>
    </row>
    <row r="11" spans="1:4" x14ac:dyDescent="0.2">
      <c r="A11" t="s">
        <v>11</v>
      </c>
      <c r="B11" t="s">
        <v>31</v>
      </c>
      <c r="C11" s="26" t="s">
        <v>32</v>
      </c>
      <c r="D11" s="17" t="s">
        <v>33</v>
      </c>
    </row>
    <row r="12" spans="1:4" x14ac:dyDescent="0.2">
      <c r="A12" t="s">
        <v>11</v>
      </c>
      <c r="B12" t="s">
        <v>34</v>
      </c>
      <c r="C12" s="26" t="s">
        <v>35</v>
      </c>
      <c r="D12" s="17" t="s">
        <v>36</v>
      </c>
    </row>
    <row r="13" spans="1:4" x14ac:dyDescent="0.2">
      <c r="A13" t="s">
        <v>11</v>
      </c>
      <c r="B13" t="s">
        <v>37</v>
      </c>
      <c r="C13" s="26" t="s">
        <v>38</v>
      </c>
      <c r="D13" s="17" t="s">
        <v>39</v>
      </c>
    </row>
    <row r="14" spans="1:4" x14ac:dyDescent="0.2">
      <c r="A14" t="s">
        <v>11</v>
      </c>
      <c r="B14" t="s">
        <v>40</v>
      </c>
      <c r="C14" s="26" t="s">
        <v>41</v>
      </c>
      <c r="D14" s="17" t="s">
        <v>42</v>
      </c>
    </row>
    <row r="15" spans="1:4" x14ac:dyDescent="0.2">
      <c r="A15" t="s">
        <v>11</v>
      </c>
      <c r="B15" t="s">
        <v>43</v>
      </c>
      <c r="C15" s="26" t="s">
        <v>44</v>
      </c>
      <c r="D15" s="17" t="s">
        <v>45</v>
      </c>
    </row>
    <row r="16" spans="1:4" x14ac:dyDescent="0.2">
      <c r="A16" t="s">
        <v>11</v>
      </c>
      <c r="B16" t="s">
        <v>46</v>
      </c>
      <c r="C16" s="26" t="s">
        <v>47</v>
      </c>
      <c r="D16" s="17" t="s">
        <v>48</v>
      </c>
    </row>
    <row r="17" spans="1:4" x14ac:dyDescent="0.2">
      <c r="A17" t="s">
        <v>11</v>
      </c>
      <c r="B17" t="s">
        <v>49</v>
      </c>
      <c r="C17" s="26" t="s">
        <v>50</v>
      </c>
      <c r="D17" s="17" t="s">
        <v>51</v>
      </c>
    </row>
    <row r="18" spans="1:4" x14ac:dyDescent="0.2">
      <c r="A18" t="s">
        <v>11</v>
      </c>
      <c r="B18" t="s">
        <v>52</v>
      </c>
      <c r="C18" s="26" t="s">
        <v>53</v>
      </c>
      <c r="D18" s="17" t="s">
        <v>54</v>
      </c>
    </row>
    <row r="19" spans="1:4" x14ac:dyDescent="0.2">
      <c r="A19" t="s">
        <v>11</v>
      </c>
      <c r="B19" t="s">
        <v>55</v>
      </c>
      <c r="C19" s="26" t="s">
        <v>56</v>
      </c>
      <c r="D19" s="28">
        <v>78.075234905660295</v>
      </c>
    </row>
    <row r="20" spans="1:4" x14ac:dyDescent="0.2">
      <c r="A20" t="s">
        <v>11</v>
      </c>
      <c r="B20" t="s">
        <v>58</v>
      </c>
      <c r="C20" s="26" t="s">
        <v>59</v>
      </c>
      <c r="D20" s="17" t="s">
        <v>60</v>
      </c>
    </row>
    <row r="21" spans="1:4" x14ac:dyDescent="0.2">
      <c r="A21" t="s">
        <v>11</v>
      </c>
      <c r="B21" t="s">
        <v>61</v>
      </c>
      <c r="C21" s="26" t="s">
        <v>62</v>
      </c>
      <c r="D21" s="17" t="s">
        <v>63</v>
      </c>
    </row>
    <row r="22" spans="1:4" x14ac:dyDescent="0.2">
      <c r="A22" t="s">
        <v>11</v>
      </c>
      <c r="B22" t="s">
        <v>64</v>
      </c>
      <c r="C22" s="26" t="s">
        <v>65</v>
      </c>
      <c r="D22" s="17" t="s">
        <v>66</v>
      </c>
    </row>
    <row r="23" spans="1:4" x14ac:dyDescent="0.2">
      <c r="A23" t="s">
        <v>11</v>
      </c>
      <c r="B23" t="s">
        <v>67</v>
      </c>
      <c r="C23" s="27">
        <v>17.646839033989298</v>
      </c>
      <c r="D23" s="17" t="s">
        <v>68</v>
      </c>
    </row>
    <row r="24" spans="1:4" x14ac:dyDescent="0.2">
      <c r="A24" t="s">
        <v>11</v>
      </c>
      <c r="B24" t="s">
        <v>69</v>
      </c>
      <c r="C24" s="26" t="s">
        <v>70</v>
      </c>
      <c r="D24" s="17" t="s">
        <v>71</v>
      </c>
    </row>
    <row r="25" spans="1:4" x14ac:dyDescent="0.2">
      <c r="A25" t="s">
        <v>11</v>
      </c>
      <c r="B25" t="s">
        <v>72</v>
      </c>
      <c r="C25" s="26" t="s">
        <v>73</v>
      </c>
      <c r="D25" s="17" t="s">
        <v>74</v>
      </c>
    </row>
    <row r="26" spans="1:4" x14ac:dyDescent="0.2">
      <c r="A26" t="s">
        <v>11</v>
      </c>
      <c r="B26" t="s">
        <v>75</v>
      </c>
      <c r="C26" s="26" t="s">
        <v>76</v>
      </c>
      <c r="D26" s="17" t="s">
        <v>77</v>
      </c>
    </row>
    <row r="27" spans="1:4" x14ac:dyDescent="0.2">
      <c r="A27" t="s">
        <v>78</v>
      </c>
      <c r="B27" t="s">
        <v>79</v>
      </c>
      <c r="C27" s="26" t="s">
        <v>80</v>
      </c>
      <c r="D27" s="17" t="s">
        <v>81</v>
      </c>
    </row>
    <row r="28" spans="1:4" x14ac:dyDescent="0.2">
      <c r="A28" t="s">
        <v>78</v>
      </c>
      <c r="B28" t="s">
        <v>82</v>
      </c>
      <c r="C28" s="26" t="s">
        <v>83</v>
      </c>
      <c r="D28" s="17" t="s">
        <v>84</v>
      </c>
    </row>
    <row r="29" spans="1:4" x14ac:dyDescent="0.2">
      <c r="A29" t="s">
        <v>78</v>
      </c>
      <c r="B29" t="s">
        <v>85</v>
      </c>
      <c r="C29" s="26" t="s">
        <v>86</v>
      </c>
      <c r="D29" s="17" t="s">
        <v>87</v>
      </c>
    </row>
    <row r="30" spans="1:4" x14ac:dyDescent="0.2">
      <c r="A30" t="s">
        <v>78</v>
      </c>
      <c r="B30" t="s">
        <v>88</v>
      </c>
      <c r="C30" s="26" t="s">
        <v>89</v>
      </c>
      <c r="D30" s="17" t="s">
        <v>90</v>
      </c>
    </row>
    <row r="31" spans="1:4" x14ac:dyDescent="0.2">
      <c r="A31" t="s">
        <v>78</v>
      </c>
      <c r="B31" t="s">
        <v>91</v>
      </c>
      <c r="C31" s="26" t="s">
        <v>92</v>
      </c>
      <c r="D31" s="17" t="s">
        <v>93</v>
      </c>
    </row>
    <row r="32" spans="1:4" x14ac:dyDescent="0.2">
      <c r="A32" t="s">
        <v>78</v>
      </c>
      <c r="B32" t="s">
        <v>94</v>
      </c>
      <c r="C32" s="26" t="s">
        <v>95</v>
      </c>
      <c r="D32" s="17" t="s">
        <v>96</v>
      </c>
    </row>
    <row r="33" spans="1:4" x14ac:dyDescent="0.2">
      <c r="A33" t="s">
        <v>78</v>
      </c>
      <c r="B33" t="s">
        <v>97</v>
      </c>
      <c r="C33" s="26" t="s">
        <v>98</v>
      </c>
      <c r="D33" s="17" t="s">
        <v>99</v>
      </c>
    </row>
    <row r="34" spans="1:4" x14ac:dyDescent="0.2">
      <c r="A34" t="s">
        <v>78</v>
      </c>
      <c r="B34" t="s">
        <v>100</v>
      </c>
      <c r="C34" s="26" t="s">
        <v>101</v>
      </c>
      <c r="D34" s="17" t="s">
        <v>102</v>
      </c>
    </row>
    <row r="35" spans="1:4" x14ac:dyDescent="0.2">
      <c r="A35" t="s">
        <v>78</v>
      </c>
      <c r="B35" t="s">
        <v>103</v>
      </c>
      <c r="C35" s="26" t="s">
        <v>104</v>
      </c>
      <c r="D35" s="17" t="s">
        <v>105</v>
      </c>
    </row>
    <row r="36" spans="1:4" x14ac:dyDescent="0.2">
      <c r="A36" t="s">
        <v>78</v>
      </c>
      <c r="B36" t="s">
        <v>106</v>
      </c>
      <c r="C36" s="26" t="s">
        <v>107</v>
      </c>
      <c r="D36" s="17" t="s">
        <v>108</v>
      </c>
    </row>
    <row r="37" spans="1:4" x14ac:dyDescent="0.2">
      <c r="A37" t="s">
        <v>78</v>
      </c>
      <c r="B37" t="s">
        <v>109</v>
      </c>
      <c r="C37" s="26" t="s">
        <v>110</v>
      </c>
      <c r="D37" s="17" t="s">
        <v>111</v>
      </c>
    </row>
    <row r="38" spans="1:4" x14ac:dyDescent="0.2">
      <c r="A38" t="s">
        <v>78</v>
      </c>
      <c r="B38" t="s">
        <v>112</v>
      </c>
      <c r="C38" s="27">
        <v>28.830924489795901</v>
      </c>
      <c r="D38" s="17" t="s">
        <v>113</v>
      </c>
    </row>
    <row r="39" spans="1:4" x14ac:dyDescent="0.2">
      <c r="A39" t="s">
        <v>78</v>
      </c>
      <c r="B39" t="s">
        <v>114</v>
      </c>
      <c r="C39" s="26" t="s">
        <v>115</v>
      </c>
      <c r="D39" s="17" t="s">
        <v>116</v>
      </c>
    </row>
    <row r="40" spans="1:4" x14ac:dyDescent="0.2">
      <c r="A40" t="s">
        <v>78</v>
      </c>
      <c r="B40" t="s">
        <v>117</v>
      </c>
      <c r="C40" s="26" t="s">
        <v>118</v>
      </c>
      <c r="D40" s="17" t="s">
        <v>119</v>
      </c>
    </row>
    <row r="41" spans="1:4" x14ac:dyDescent="0.2">
      <c r="A41" t="s">
        <v>78</v>
      </c>
      <c r="B41" t="s">
        <v>120</v>
      </c>
      <c r="C41" s="26" t="s">
        <v>121</v>
      </c>
      <c r="D41" s="17" t="s">
        <v>122</v>
      </c>
    </row>
    <row r="42" spans="1:4" x14ac:dyDescent="0.2">
      <c r="A42" t="s">
        <v>123</v>
      </c>
      <c r="B42" t="s">
        <v>124</v>
      </c>
      <c r="C42" s="26" t="s">
        <v>125</v>
      </c>
      <c r="D42" s="17" t="s">
        <v>126</v>
      </c>
    </row>
    <row r="43" spans="1:4" x14ac:dyDescent="0.2">
      <c r="A43" t="s">
        <v>123</v>
      </c>
      <c r="B43" t="s">
        <v>127</v>
      </c>
      <c r="C43" s="26" t="s">
        <v>128</v>
      </c>
      <c r="D43" s="18">
        <v>90.673429618768395</v>
      </c>
    </row>
    <row r="44" spans="1:4" x14ac:dyDescent="0.2">
      <c r="A44" t="s">
        <v>123</v>
      </c>
      <c r="B44" t="s">
        <v>129</v>
      </c>
      <c r="C44" s="26" t="s">
        <v>130</v>
      </c>
      <c r="D44" s="17" t="s">
        <v>131</v>
      </c>
    </row>
    <row r="45" spans="1:4" x14ac:dyDescent="0.2">
      <c r="A45" t="s">
        <v>123</v>
      </c>
      <c r="B45" t="s">
        <v>132</v>
      </c>
      <c r="C45" s="26" t="s">
        <v>133</v>
      </c>
      <c r="D45" s="17" t="s">
        <v>134</v>
      </c>
    </row>
    <row r="46" spans="1:4" x14ac:dyDescent="0.2">
      <c r="A46" t="s">
        <v>123</v>
      </c>
      <c r="B46" t="s">
        <v>135</v>
      </c>
      <c r="C46" s="26" t="s">
        <v>136</v>
      </c>
      <c r="D46" s="17" t="s">
        <v>137</v>
      </c>
    </row>
    <row r="47" spans="1:4" x14ac:dyDescent="0.2">
      <c r="A47" t="s">
        <v>123</v>
      </c>
      <c r="B47" t="s">
        <v>138</v>
      </c>
      <c r="C47" s="26" t="s">
        <v>139</v>
      </c>
      <c r="D47" s="17" t="s">
        <v>140</v>
      </c>
    </row>
    <row r="48" spans="1:4" x14ac:dyDescent="0.2">
      <c r="A48" t="s">
        <v>123</v>
      </c>
      <c r="B48" t="s">
        <v>141</v>
      </c>
      <c r="C48" s="26" t="s">
        <v>142</v>
      </c>
      <c r="D48" s="18">
        <v>95.099828232758696</v>
      </c>
    </row>
    <row r="49" spans="1:4" x14ac:dyDescent="0.2">
      <c r="A49" t="s">
        <v>123</v>
      </c>
      <c r="B49" t="s">
        <v>143</v>
      </c>
      <c r="C49" s="26" t="s">
        <v>144</v>
      </c>
      <c r="D49" s="17" t="s">
        <v>145</v>
      </c>
    </row>
    <row r="50" spans="1:4" x14ac:dyDescent="0.2">
      <c r="A50" t="s">
        <v>123</v>
      </c>
      <c r="B50" t="s">
        <v>146</v>
      </c>
      <c r="C50" s="26" t="s">
        <v>147</v>
      </c>
      <c r="D50" s="17" t="s">
        <v>148</v>
      </c>
    </row>
    <row r="51" spans="1:4" x14ac:dyDescent="0.2">
      <c r="A51" t="s">
        <v>123</v>
      </c>
      <c r="B51" t="s">
        <v>149</v>
      </c>
      <c r="C51" s="26" t="s">
        <v>150</v>
      </c>
      <c r="D51" s="17" t="s">
        <v>151</v>
      </c>
    </row>
    <row r="52" spans="1:4" x14ac:dyDescent="0.2">
      <c r="A52" t="s">
        <v>123</v>
      </c>
      <c r="B52" t="s">
        <v>152</v>
      </c>
      <c r="C52" s="26" t="s">
        <v>153</v>
      </c>
      <c r="D52" s="17" t="s">
        <v>154</v>
      </c>
    </row>
    <row r="53" spans="1:4" x14ac:dyDescent="0.2">
      <c r="A53" t="s">
        <v>123</v>
      </c>
      <c r="B53" t="s">
        <v>155</v>
      </c>
      <c r="C53" s="26" t="s">
        <v>156</v>
      </c>
      <c r="D53" s="17" t="s">
        <v>157</v>
      </c>
    </row>
    <row r="54" spans="1:4" x14ac:dyDescent="0.2">
      <c r="A54" t="s">
        <v>123</v>
      </c>
      <c r="B54" t="s">
        <v>158</v>
      </c>
      <c r="C54" s="26" t="s">
        <v>159</v>
      </c>
      <c r="D54" s="17" t="s">
        <v>160</v>
      </c>
    </row>
    <row r="55" spans="1:4" x14ac:dyDescent="0.2">
      <c r="A55" t="s">
        <v>123</v>
      </c>
      <c r="B55" t="s">
        <v>161</v>
      </c>
      <c r="C55" s="26" t="s">
        <v>162</v>
      </c>
      <c r="D55" s="17" t="s">
        <v>163</v>
      </c>
    </row>
    <row r="56" spans="1:4" x14ac:dyDescent="0.2">
      <c r="A56" t="s">
        <v>123</v>
      </c>
      <c r="B56" t="s">
        <v>164</v>
      </c>
      <c r="C56" s="26" t="s">
        <v>165</v>
      </c>
      <c r="D56" s="17" t="s">
        <v>166</v>
      </c>
    </row>
    <row r="57" spans="1:4" x14ac:dyDescent="0.2">
      <c r="A57" t="s">
        <v>123</v>
      </c>
      <c r="B57" t="s">
        <v>167</v>
      </c>
      <c r="C57" s="26" t="s">
        <v>168</v>
      </c>
      <c r="D57" s="18">
        <v>94.077594925373205</v>
      </c>
    </row>
    <row r="58" spans="1:4" x14ac:dyDescent="0.2">
      <c r="A58" t="s">
        <v>123</v>
      </c>
      <c r="B58" t="s">
        <v>169</v>
      </c>
      <c r="C58" s="26" t="s">
        <v>170</v>
      </c>
      <c r="D58" s="17" t="s">
        <v>171</v>
      </c>
    </row>
    <row r="59" spans="1:4" x14ac:dyDescent="0.2">
      <c r="A59" t="s">
        <v>123</v>
      </c>
      <c r="B59" t="s">
        <v>172</v>
      </c>
      <c r="C59" s="26" t="s">
        <v>173</v>
      </c>
      <c r="D59" s="18">
        <v>92.930619114470801</v>
      </c>
    </row>
    <row r="60" spans="1:4" x14ac:dyDescent="0.2">
      <c r="A60" t="s">
        <v>123</v>
      </c>
      <c r="B60" t="s">
        <v>174</v>
      </c>
      <c r="C60" s="26" t="s">
        <v>175</v>
      </c>
      <c r="D60" s="17" t="s">
        <v>176</v>
      </c>
    </row>
    <row r="61" spans="1:4" x14ac:dyDescent="0.2">
      <c r="A61" t="s">
        <v>123</v>
      </c>
      <c r="B61" t="s">
        <v>177</v>
      </c>
      <c r="C61" s="26" t="s">
        <v>178</v>
      </c>
      <c r="D61" s="17" t="s">
        <v>179</v>
      </c>
    </row>
    <row r="62" spans="1:4" x14ac:dyDescent="0.2">
      <c r="A62" t="s">
        <v>123</v>
      </c>
      <c r="B62" t="s">
        <v>180</v>
      </c>
      <c r="C62" s="26" t="s">
        <v>181</v>
      </c>
      <c r="D62" s="17" t="s">
        <v>182</v>
      </c>
    </row>
    <row r="63" spans="1:4" x14ac:dyDescent="0.2">
      <c r="A63" t="s">
        <v>123</v>
      </c>
      <c r="B63" t="s">
        <v>183</v>
      </c>
      <c r="C63" s="26" t="s">
        <v>184</v>
      </c>
      <c r="D63" s="17" t="s">
        <v>185</v>
      </c>
    </row>
    <row r="64" spans="1:4" x14ac:dyDescent="0.2">
      <c r="A64" t="s">
        <v>123</v>
      </c>
      <c r="B64" t="s">
        <v>186</v>
      </c>
      <c r="C64" s="26" t="s">
        <v>187</v>
      </c>
      <c r="D64" s="17" t="s">
        <v>188</v>
      </c>
    </row>
    <row r="65" spans="1:4" x14ac:dyDescent="0.2">
      <c r="A65" t="s">
        <v>189</v>
      </c>
      <c r="B65" t="s">
        <v>190</v>
      </c>
      <c r="C65" s="26" t="s">
        <v>191</v>
      </c>
      <c r="D65" s="17" t="s">
        <v>192</v>
      </c>
    </row>
    <row r="66" spans="1:4" x14ac:dyDescent="0.2">
      <c r="A66" t="s">
        <v>189</v>
      </c>
      <c r="B66" t="s">
        <v>193</v>
      </c>
      <c r="C66" s="26" t="s">
        <v>194</v>
      </c>
      <c r="D66" s="17" t="s">
        <v>195</v>
      </c>
    </row>
    <row r="67" spans="1:4" x14ac:dyDescent="0.2">
      <c r="A67" t="s">
        <v>189</v>
      </c>
      <c r="B67" t="s">
        <v>196</v>
      </c>
      <c r="C67" s="26" t="s">
        <v>197</v>
      </c>
      <c r="D67" s="18">
        <v>86.866491634241299</v>
      </c>
    </row>
    <row r="68" spans="1:4" x14ac:dyDescent="0.2">
      <c r="A68" t="s">
        <v>189</v>
      </c>
      <c r="B68" t="s">
        <v>198</v>
      </c>
      <c r="C68" s="26" t="s">
        <v>199</v>
      </c>
      <c r="D68" s="17" t="s">
        <v>200</v>
      </c>
    </row>
    <row r="69" spans="1:4" x14ac:dyDescent="0.2">
      <c r="A69" t="s">
        <v>189</v>
      </c>
      <c r="B69" t="s">
        <v>201</v>
      </c>
      <c r="C69" s="26" t="s">
        <v>202</v>
      </c>
      <c r="D69" s="17" t="s">
        <v>203</v>
      </c>
    </row>
    <row r="70" spans="1:4" x14ac:dyDescent="0.2">
      <c r="A70" t="s">
        <v>189</v>
      </c>
      <c r="B70" t="s">
        <v>204</v>
      </c>
      <c r="C70" s="26" t="s">
        <v>205</v>
      </c>
      <c r="D70" s="17" t="s">
        <v>206</v>
      </c>
    </row>
    <row r="71" spans="1:4" x14ac:dyDescent="0.2">
      <c r="A71" t="s">
        <v>189</v>
      </c>
      <c r="B71" t="s">
        <v>207</v>
      </c>
      <c r="C71" s="26" t="s">
        <v>208</v>
      </c>
      <c r="D71" s="17" t="s">
        <v>209</v>
      </c>
    </row>
    <row r="72" spans="1:4" x14ac:dyDescent="0.2">
      <c r="A72" t="s">
        <v>189</v>
      </c>
      <c r="B72" t="s">
        <v>210</v>
      </c>
      <c r="C72" s="26" t="s">
        <v>211</v>
      </c>
      <c r="D72" s="17" t="s">
        <v>212</v>
      </c>
    </row>
    <row r="73" spans="1:4" x14ac:dyDescent="0.2">
      <c r="A73" t="s">
        <v>189</v>
      </c>
      <c r="B73" t="s">
        <v>213</v>
      </c>
      <c r="C73" s="26" t="s">
        <v>214</v>
      </c>
      <c r="D73" s="17" t="s">
        <v>215</v>
      </c>
    </row>
    <row r="74" spans="1:4" x14ac:dyDescent="0.2">
      <c r="A74" t="s">
        <v>189</v>
      </c>
      <c r="B74" t="s">
        <v>216</v>
      </c>
      <c r="C74" s="27">
        <v>24.7266541547278</v>
      </c>
      <c r="D74" s="17" t="s">
        <v>217</v>
      </c>
    </row>
    <row r="75" spans="1:4" x14ac:dyDescent="0.2">
      <c r="A75" t="s">
        <v>189</v>
      </c>
      <c r="B75" t="s">
        <v>218</v>
      </c>
      <c r="C75" s="26" t="s">
        <v>219</v>
      </c>
      <c r="D75" s="17" t="s">
        <v>220</v>
      </c>
    </row>
    <row r="76" spans="1:4" x14ac:dyDescent="0.2">
      <c r="A76" t="s">
        <v>189</v>
      </c>
      <c r="B76" t="s">
        <v>221</v>
      </c>
      <c r="C76" s="26" t="s">
        <v>222</v>
      </c>
      <c r="D76" s="17" t="s">
        <v>223</v>
      </c>
    </row>
    <row r="77" spans="1:4" x14ac:dyDescent="0.2">
      <c r="A77" t="s">
        <v>189</v>
      </c>
      <c r="B77" t="s">
        <v>224</v>
      </c>
      <c r="C77" s="26" t="s">
        <v>225</v>
      </c>
      <c r="D77" s="18">
        <v>84.920812448132807</v>
      </c>
    </row>
    <row r="78" spans="1:4" x14ac:dyDescent="0.2">
      <c r="A78" t="s">
        <v>189</v>
      </c>
      <c r="B78" t="s">
        <v>226</v>
      </c>
      <c r="C78" s="26" t="s">
        <v>227</v>
      </c>
      <c r="D78" s="17" t="s">
        <v>228</v>
      </c>
    </row>
    <row r="79" spans="1:4" x14ac:dyDescent="0.2">
      <c r="A79" t="s">
        <v>189</v>
      </c>
      <c r="B79" t="s">
        <v>229</v>
      </c>
      <c r="C79" s="26" t="s">
        <v>230</v>
      </c>
      <c r="D79" s="17" t="s">
        <v>231</v>
      </c>
    </row>
    <row r="80" spans="1:4" x14ac:dyDescent="0.2">
      <c r="A80" t="s">
        <v>189</v>
      </c>
      <c r="B80" t="s">
        <v>232</v>
      </c>
      <c r="C80" s="26" t="s">
        <v>233</v>
      </c>
      <c r="D80" s="17" t="s">
        <v>234</v>
      </c>
    </row>
    <row r="81" spans="1:4" x14ac:dyDescent="0.2">
      <c r="A81" t="s">
        <v>189</v>
      </c>
      <c r="B81" t="s">
        <v>235</v>
      </c>
      <c r="C81" s="26" t="s">
        <v>236</v>
      </c>
      <c r="D81" s="17" t="s">
        <v>237</v>
      </c>
    </row>
    <row r="82" spans="1:4" x14ac:dyDescent="0.2">
      <c r="A82" t="s">
        <v>189</v>
      </c>
      <c r="B82" t="s">
        <v>238</v>
      </c>
      <c r="C82" s="26" t="s">
        <v>239</v>
      </c>
      <c r="D82" s="18">
        <v>86.897844398340297</v>
      </c>
    </row>
    <row r="83" spans="1:4" x14ac:dyDescent="0.2">
      <c r="A83" t="s">
        <v>189</v>
      </c>
      <c r="B83" t="s">
        <v>240</v>
      </c>
      <c r="C83" s="26" t="s">
        <v>241</v>
      </c>
      <c r="D83" s="17" t="s">
        <v>242</v>
      </c>
    </row>
    <row r="84" spans="1:4" x14ac:dyDescent="0.2">
      <c r="A84" t="s">
        <v>189</v>
      </c>
      <c r="B84" t="s">
        <v>243</v>
      </c>
      <c r="C84" s="26" t="s">
        <v>244</v>
      </c>
      <c r="D84" s="17" t="s">
        <v>245</v>
      </c>
    </row>
    <row r="85" spans="1:4" x14ac:dyDescent="0.2">
      <c r="A85" t="s">
        <v>189</v>
      </c>
      <c r="B85" t="s">
        <v>246</v>
      </c>
      <c r="C85" s="26" t="s">
        <v>247</v>
      </c>
      <c r="D85" s="17" t="s">
        <v>248</v>
      </c>
    </row>
    <row r="86" spans="1:4" x14ac:dyDescent="0.2">
      <c r="A86" t="s">
        <v>189</v>
      </c>
      <c r="B86" t="s">
        <v>249</v>
      </c>
      <c r="C86" s="26" t="s">
        <v>250</v>
      </c>
      <c r="D86" s="17" t="s">
        <v>251</v>
      </c>
    </row>
    <row r="87" spans="1:4" x14ac:dyDescent="0.2">
      <c r="A87" t="s">
        <v>189</v>
      </c>
      <c r="B87" t="s">
        <v>252</v>
      </c>
      <c r="C87" s="26" t="s">
        <v>253</v>
      </c>
      <c r="D87" s="17" t="s">
        <v>254</v>
      </c>
    </row>
    <row r="88" spans="1:4" x14ac:dyDescent="0.2">
      <c r="A88" t="s">
        <v>189</v>
      </c>
      <c r="B88" t="s">
        <v>255</v>
      </c>
      <c r="C88" s="26" t="s">
        <v>256</v>
      </c>
      <c r="D88" s="17" t="s">
        <v>257</v>
      </c>
    </row>
    <row r="89" spans="1:4" x14ac:dyDescent="0.2">
      <c r="A89" t="s">
        <v>189</v>
      </c>
      <c r="B89" t="s">
        <v>258</v>
      </c>
      <c r="C89" s="26" t="s">
        <v>259</v>
      </c>
      <c r="D89" s="18">
        <v>85.319843358778698</v>
      </c>
    </row>
    <row r="90" spans="1:4" x14ac:dyDescent="0.2">
      <c r="A90" t="s">
        <v>189</v>
      </c>
      <c r="B90" t="s">
        <v>260</v>
      </c>
      <c r="C90" s="26" t="s">
        <v>261</v>
      </c>
      <c r="D90" s="17" t="s">
        <v>262</v>
      </c>
    </row>
    <row r="91" spans="1:4" x14ac:dyDescent="0.2">
      <c r="A91" t="s">
        <v>189</v>
      </c>
      <c r="B91" t="s">
        <v>263</v>
      </c>
      <c r="C91" s="26" t="s">
        <v>264</v>
      </c>
      <c r="D91" s="17" t="s">
        <v>265</v>
      </c>
    </row>
    <row r="92" spans="1:4" x14ac:dyDescent="0.2">
      <c r="A92" t="s">
        <v>189</v>
      </c>
      <c r="B92" t="s">
        <v>266</v>
      </c>
      <c r="C92" s="26" t="s">
        <v>267</v>
      </c>
      <c r="D92" s="18">
        <v>83.935076267281104</v>
      </c>
    </row>
    <row r="93" spans="1:4" x14ac:dyDescent="0.2">
      <c r="A93" t="s">
        <v>189</v>
      </c>
      <c r="B93" t="s">
        <v>268</v>
      </c>
      <c r="C93" s="26" t="s">
        <v>269</v>
      </c>
      <c r="D93" s="17" t="s">
        <v>270</v>
      </c>
    </row>
    <row r="94" spans="1:4" x14ac:dyDescent="0.2">
      <c r="A94" t="s">
        <v>189</v>
      </c>
      <c r="B94" t="s">
        <v>271</v>
      </c>
      <c r="C94" s="26" t="s">
        <v>272</v>
      </c>
      <c r="D94" s="17" t="s">
        <v>273</v>
      </c>
    </row>
    <row r="95" spans="1:4" x14ac:dyDescent="0.2">
      <c r="A95" t="s">
        <v>189</v>
      </c>
      <c r="B95" t="s">
        <v>274</v>
      </c>
      <c r="C95" s="26" t="s">
        <v>275</v>
      </c>
      <c r="D95" s="17" t="s">
        <v>276</v>
      </c>
    </row>
    <row r="96" spans="1:4" x14ac:dyDescent="0.2">
      <c r="A96" t="s">
        <v>189</v>
      </c>
      <c r="B96" t="s">
        <v>277</v>
      </c>
      <c r="C96" s="26" t="s">
        <v>278</v>
      </c>
      <c r="D96" s="17" t="s">
        <v>279</v>
      </c>
    </row>
    <row r="97" spans="1:4" x14ac:dyDescent="0.2">
      <c r="A97" t="s">
        <v>189</v>
      </c>
      <c r="B97" t="s">
        <v>280</v>
      </c>
      <c r="C97" s="26" t="s">
        <v>281</v>
      </c>
      <c r="D97" s="17" t="s">
        <v>282</v>
      </c>
    </row>
    <row r="98" spans="1:4" x14ac:dyDescent="0.2">
      <c r="A98" t="s">
        <v>189</v>
      </c>
      <c r="B98" t="s">
        <v>283</v>
      </c>
      <c r="C98" s="26" t="s">
        <v>284</v>
      </c>
      <c r="D98" s="17" t="s">
        <v>285</v>
      </c>
    </row>
    <row r="99" spans="1:4" x14ac:dyDescent="0.2">
      <c r="A99" t="s">
        <v>189</v>
      </c>
      <c r="B99" t="s">
        <v>286</v>
      </c>
      <c r="C99" s="27">
        <v>26.173637201365199</v>
      </c>
      <c r="D99" s="17" t="s">
        <v>287</v>
      </c>
    </row>
    <row r="100" spans="1:4" x14ac:dyDescent="0.2">
      <c r="A100" t="s">
        <v>189</v>
      </c>
      <c r="B100" t="s">
        <v>288</v>
      </c>
      <c r="C100" s="26" t="s">
        <v>289</v>
      </c>
      <c r="D100" s="17" t="s">
        <v>290</v>
      </c>
    </row>
    <row r="101" spans="1:4" x14ac:dyDescent="0.2">
      <c r="A101" t="s">
        <v>189</v>
      </c>
      <c r="B101" t="s">
        <v>291</v>
      </c>
      <c r="C101" s="27">
        <v>25.813470318021199</v>
      </c>
      <c r="D101" s="17" t="s">
        <v>292</v>
      </c>
    </row>
    <row r="102" spans="1:4" x14ac:dyDescent="0.2">
      <c r="A102" t="s">
        <v>293</v>
      </c>
      <c r="B102" t="s">
        <v>293</v>
      </c>
      <c r="C102" s="27">
        <v>30.742599999999999</v>
      </c>
      <c r="D102" s="17" t="s">
        <v>294</v>
      </c>
    </row>
    <row r="103" spans="1:4" x14ac:dyDescent="0.2">
      <c r="A103" t="s">
        <v>295</v>
      </c>
      <c r="B103" t="s">
        <v>296</v>
      </c>
      <c r="C103" s="26" t="s">
        <v>297</v>
      </c>
      <c r="D103" s="17" t="s">
        <v>298</v>
      </c>
    </row>
    <row r="104" spans="1:4" x14ac:dyDescent="0.2">
      <c r="A104" t="s">
        <v>295</v>
      </c>
      <c r="B104" t="s">
        <v>299</v>
      </c>
      <c r="C104" s="26" t="s">
        <v>300</v>
      </c>
      <c r="D104" s="17" t="s">
        <v>301</v>
      </c>
    </row>
    <row r="105" spans="1:4" x14ac:dyDescent="0.2">
      <c r="A105" t="s">
        <v>295</v>
      </c>
      <c r="B105" t="s">
        <v>302</v>
      </c>
      <c r="C105" s="26" t="s">
        <v>303</v>
      </c>
      <c r="D105" s="17" t="s">
        <v>304</v>
      </c>
    </row>
    <row r="106" spans="1:4" x14ac:dyDescent="0.2">
      <c r="A106" t="s">
        <v>295</v>
      </c>
      <c r="B106" t="s">
        <v>305</v>
      </c>
      <c r="C106" s="26" t="s">
        <v>306</v>
      </c>
      <c r="D106" s="18">
        <v>81.7569195519348</v>
      </c>
    </row>
    <row r="107" spans="1:4" x14ac:dyDescent="0.2">
      <c r="A107" t="s">
        <v>295</v>
      </c>
      <c r="B107" t="s">
        <v>307</v>
      </c>
      <c r="C107" s="26" t="s">
        <v>308</v>
      </c>
      <c r="D107" s="17" t="s">
        <v>309</v>
      </c>
    </row>
    <row r="108" spans="1:4" x14ac:dyDescent="0.2">
      <c r="A108" t="s">
        <v>295</v>
      </c>
      <c r="B108" t="s">
        <v>310</v>
      </c>
      <c r="C108" s="26" t="s">
        <v>311</v>
      </c>
      <c r="D108" s="17" t="s">
        <v>312</v>
      </c>
    </row>
    <row r="109" spans="1:4" x14ac:dyDescent="0.2">
      <c r="A109" t="s">
        <v>295</v>
      </c>
      <c r="B109" t="s">
        <v>313</v>
      </c>
      <c r="C109" s="26" t="s">
        <v>314</v>
      </c>
      <c r="D109" s="18">
        <v>83.870396207584804</v>
      </c>
    </row>
    <row r="110" spans="1:4" x14ac:dyDescent="0.2">
      <c r="A110" t="s">
        <v>295</v>
      </c>
      <c r="B110" t="s">
        <v>315</v>
      </c>
      <c r="C110" s="26" t="s">
        <v>316</v>
      </c>
      <c r="D110" s="17" t="s">
        <v>317</v>
      </c>
    </row>
    <row r="111" spans="1:4" x14ac:dyDescent="0.2">
      <c r="A111" t="s">
        <v>295</v>
      </c>
      <c r="B111" t="s">
        <v>318</v>
      </c>
      <c r="C111" s="26" t="s">
        <v>319</v>
      </c>
      <c r="D111" s="17" t="s">
        <v>320</v>
      </c>
    </row>
    <row r="112" spans="1:4" x14ac:dyDescent="0.2">
      <c r="A112" t="s">
        <v>295</v>
      </c>
      <c r="B112" t="s">
        <v>321</v>
      </c>
      <c r="C112" s="26" t="s">
        <v>322</v>
      </c>
      <c r="D112" s="17" t="s">
        <v>323</v>
      </c>
    </row>
    <row r="113" spans="1:4" x14ac:dyDescent="0.2">
      <c r="A113" t="s">
        <v>295</v>
      </c>
      <c r="B113" t="s">
        <v>324</v>
      </c>
      <c r="C113" s="26" t="s">
        <v>325</v>
      </c>
      <c r="D113" s="17" t="s">
        <v>326</v>
      </c>
    </row>
    <row r="114" spans="1:4" x14ac:dyDescent="0.2">
      <c r="A114" t="s">
        <v>295</v>
      </c>
      <c r="B114" t="s">
        <v>327</v>
      </c>
      <c r="C114" s="26" t="s">
        <v>328</v>
      </c>
      <c r="D114" s="17" t="s">
        <v>329</v>
      </c>
    </row>
    <row r="115" spans="1:4" x14ac:dyDescent="0.2">
      <c r="A115" t="s">
        <v>295</v>
      </c>
      <c r="B115" t="s">
        <v>330</v>
      </c>
      <c r="C115" s="26" t="s">
        <v>331</v>
      </c>
      <c r="D115" s="17" t="s">
        <v>332</v>
      </c>
    </row>
    <row r="116" spans="1:4" x14ac:dyDescent="0.2">
      <c r="A116" t="s">
        <v>295</v>
      </c>
      <c r="B116" t="s">
        <v>333</v>
      </c>
      <c r="C116" s="26" t="s">
        <v>334</v>
      </c>
      <c r="D116" s="17" t="s">
        <v>335</v>
      </c>
    </row>
    <row r="117" spans="1:4" x14ac:dyDescent="0.2">
      <c r="A117" t="s">
        <v>295</v>
      </c>
      <c r="B117" t="s">
        <v>336</v>
      </c>
      <c r="C117" s="26" t="s">
        <v>337</v>
      </c>
      <c r="D117" s="17" t="s">
        <v>338</v>
      </c>
    </row>
    <row r="118" spans="1:4" x14ac:dyDescent="0.2">
      <c r="A118" t="s">
        <v>295</v>
      </c>
      <c r="B118" t="s">
        <v>339</v>
      </c>
      <c r="C118" s="26" t="s">
        <v>340</v>
      </c>
      <c r="D118" s="17" t="s">
        <v>341</v>
      </c>
    </row>
    <row r="119" spans="1:4" x14ac:dyDescent="0.2">
      <c r="A119" t="s">
        <v>342</v>
      </c>
      <c r="B119" t="s">
        <v>342</v>
      </c>
      <c r="C119" s="26" t="s">
        <v>343</v>
      </c>
      <c r="D119" s="17" t="s">
        <v>344</v>
      </c>
    </row>
    <row r="120" spans="1:4" x14ac:dyDescent="0.2">
      <c r="A120" t="s">
        <v>345</v>
      </c>
      <c r="B120" t="s">
        <v>346</v>
      </c>
      <c r="C120" s="26" t="s">
        <v>347</v>
      </c>
      <c r="D120" s="18">
        <v>72.839236607142894</v>
      </c>
    </row>
    <row r="121" spans="1:4" x14ac:dyDescent="0.2">
      <c r="A121" t="s">
        <v>345</v>
      </c>
      <c r="B121" t="s">
        <v>348</v>
      </c>
      <c r="C121" s="26" t="s">
        <v>349</v>
      </c>
      <c r="D121" s="17" t="s">
        <v>350</v>
      </c>
    </row>
    <row r="122" spans="1:4" x14ac:dyDescent="0.2">
      <c r="A122" t="s">
        <v>351</v>
      </c>
      <c r="B122" t="s">
        <v>351</v>
      </c>
      <c r="C122" s="26" t="s">
        <v>352</v>
      </c>
      <c r="D122" s="17" t="s">
        <v>353</v>
      </c>
    </row>
    <row r="123" spans="1:4" x14ac:dyDescent="0.2">
      <c r="A123" t="s">
        <v>354</v>
      </c>
      <c r="B123" t="s">
        <v>355</v>
      </c>
      <c r="C123" s="26" t="s">
        <v>356</v>
      </c>
      <c r="D123" s="17" t="s">
        <v>357</v>
      </c>
    </row>
    <row r="124" spans="1:4" x14ac:dyDescent="0.2">
      <c r="A124" t="s">
        <v>354</v>
      </c>
      <c r="B124" t="s">
        <v>358</v>
      </c>
      <c r="C124" s="26" t="s">
        <v>359</v>
      </c>
      <c r="D124" s="18">
        <v>73.941792596876994</v>
      </c>
    </row>
    <row r="125" spans="1:4" x14ac:dyDescent="0.2">
      <c r="A125" t="s">
        <v>360</v>
      </c>
      <c r="B125" t="s">
        <v>361</v>
      </c>
      <c r="C125" s="26" t="s">
        <v>362</v>
      </c>
      <c r="D125" s="17" t="s">
        <v>363</v>
      </c>
    </row>
    <row r="126" spans="1:4" x14ac:dyDescent="0.2">
      <c r="A126" t="s">
        <v>360</v>
      </c>
      <c r="B126" t="s">
        <v>364</v>
      </c>
      <c r="C126" s="26" t="s">
        <v>365</v>
      </c>
      <c r="D126" s="17" t="s">
        <v>366</v>
      </c>
    </row>
    <row r="127" spans="1:4" x14ac:dyDescent="0.2">
      <c r="A127" t="s">
        <v>360</v>
      </c>
      <c r="B127" t="s">
        <v>367</v>
      </c>
      <c r="C127" s="26" t="s">
        <v>368</v>
      </c>
      <c r="D127" s="17" t="s">
        <v>369</v>
      </c>
    </row>
    <row r="128" spans="1:4" x14ac:dyDescent="0.2">
      <c r="A128" t="s">
        <v>360</v>
      </c>
      <c r="B128" t="s">
        <v>370</v>
      </c>
      <c r="C128" s="26" t="s">
        <v>371</v>
      </c>
      <c r="D128" s="1" t="s">
        <v>372</v>
      </c>
    </row>
    <row r="129" spans="1:4" x14ac:dyDescent="0.2">
      <c r="A129" t="s">
        <v>360</v>
      </c>
      <c r="B129" t="s">
        <v>373</v>
      </c>
      <c r="C129" s="26" t="s">
        <v>374</v>
      </c>
      <c r="D129" s="1" t="s">
        <v>375</v>
      </c>
    </row>
    <row r="130" spans="1:4" x14ac:dyDescent="0.2">
      <c r="A130" t="s">
        <v>360</v>
      </c>
      <c r="B130" t="s">
        <v>376</v>
      </c>
      <c r="C130" s="26" t="s">
        <v>377</v>
      </c>
      <c r="D130" s="1" t="s">
        <v>378</v>
      </c>
    </row>
    <row r="131" spans="1:4" x14ac:dyDescent="0.2">
      <c r="A131" t="s">
        <v>360</v>
      </c>
      <c r="B131" t="s">
        <v>379</v>
      </c>
      <c r="C131" s="26" t="s">
        <v>380</v>
      </c>
      <c r="D131" s="1" t="s">
        <v>381</v>
      </c>
    </row>
    <row r="132" spans="1:4" x14ac:dyDescent="0.2">
      <c r="A132" t="s">
        <v>360</v>
      </c>
      <c r="B132" t="s">
        <v>382</v>
      </c>
      <c r="C132" s="26" t="s">
        <v>383</v>
      </c>
      <c r="D132" s="1" t="s">
        <v>384</v>
      </c>
    </row>
    <row r="133" spans="1:4" x14ac:dyDescent="0.2">
      <c r="A133" t="s">
        <v>360</v>
      </c>
      <c r="B133" t="s">
        <v>385</v>
      </c>
      <c r="C133" s="26" t="s">
        <v>386</v>
      </c>
      <c r="D133" s="1" t="s">
        <v>387</v>
      </c>
    </row>
    <row r="134" spans="1:4" x14ac:dyDescent="0.2">
      <c r="A134" t="s">
        <v>360</v>
      </c>
      <c r="B134" t="s">
        <v>348</v>
      </c>
      <c r="C134" s="26" t="s">
        <v>388</v>
      </c>
      <c r="D134" s="1" t="s">
        <v>389</v>
      </c>
    </row>
    <row r="135" spans="1:4" x14ac:dyDescent="0.2">
      <c r="A135" t="s">
        <v>360</v>
      </c>
      <c r="B135" t="s">
        <v>390</v>
      </c>
      <c r="C135" s="26" t="s">
        <v>391</v>
      </c>
      <c r="D135" s="1" t="s">
        <v>392</v>
      </c>
    </row>
    <row r="136" spans="1:4" x14ac:dyDescent="0.2">
      <c r="A136" t="s">
        <v>360</v>
      </c>
      <c r="B136" t="s">
        <v>393</v>
      </c>
      <c r="C136" s="26" t="s">
        <v>394</v>
      </c>
      <c r="D136">
        <v>73.018803515624995</v>
      </c>
    </row>
    <row r="137" spans="1:4" x14ac:dyDescent="0.2">
      <c r="A137" t="s">
        <v>360</v>
      </c>
      <c r="B137" t="s">
        <v>395</v>
      </c>
      <c r="C137" s="26" t="s">
        <v>396</v>
      </c>
      <c r="D137" s="1" t="s">
        <v>397</v>
      </c>
    </row>
    <row r="138" spans="1:4" x14ac:dyDescent="0.2">
      <c r="A138" t="s">
        <v>360</v>
      </c>
      <c r="B138" t="s">
        <v>398</v>
      </c>
      <c r="C138" s="26" t="s">
        <v>399</v>
      </c>
      <c r="D138" s="1" t="s">
        <v>400</v>
      </c>
    </row>
    <row r="139" spans="1:4" x14ac:dyDescent="0.2">
      <c r="A139" t="s">
        <v>360</v>
      </c>
      <c r="B139" t="s">
        <v>401</v>
      </c>
      <c r="C139" s="26" t="s">
        <v>402</v>
      </c>
      <c r="D139" s="1" t="s">
        <v>403</v>
      </c>
    </row>
    <row r="140" spans="1:4" x14ac:dyDescent="0.2">
      <c r="A140" t="s">
        <v>360</v>
      </c>
      <c r="B140" t="s">
        <v>404</v>
      </c>
      <c r="C140" s="26" t="s">
        <v>405</v>
      </c>
      <c r="D140" s="1" t="s">
        <v>406</v>
      </c>
    </row>
    <row r="141" spans="1:4" x14ac:dyDescent="0.2">
      <c r="A141" t="s">
        <v>360</v>
      </c>
      <c r="B141" t="s">
        <v>407</v>
      </c>
      <c r="C141" s="26" t="s">
        <v>408</v>
      </c>
      <c r="D141" s="1" t="s">
        <v>409</v>
      </c>
    </row>
    <row r="142" spans="1:4" x14ac:dyDescent="0.2">
      <c r="A142" t="s">
        <v>360</v>
      </c>
      <c r="B142" t="s">
        <v>410</v>
      </c>
      <c r="C142" s="26" t="s">
        <v>411</v>
      </c>
      <c r="D142" s="1" t="s">
        <v>412</v>
      </c>
    </row>
    <row r="143" spans="1:4" x14ac:dyDescent="0.2">
      <c r="A143" t="s">
        <v>360</v>
      </c>
      <c r="B143" t="s">
        <v>413</v>
      </c>
      <c r="C143" s="26" t="s">
        <v>414</v>
      </c>
      <c r="D143" s="1" t="s">
        <v>415</v>
      </c>
    </row>
    <row r="144" spans="1:4" x14ac:dyDescent="0.2">
      <c r="A144" t="s">
        <v>360</v>
      </c>
      <c r="B144" t="s">
        <v>416</v>
      </c>
      <c r="C144" s="26" t="s">
        <v>417</v>
      </c>
      <c r="D144" s="1" t="s">
        <v>418</v>
      </c>
    </row>
    <row r="145" spans="1:4" x14ac:dyDescent="0.2">
      <c r="A145" t="s">
        <v>360</v>
      </c>
      <c r="B145" t="s">
        <v>419</v>
      </c>
      <c r="C145" s="26" t="s">
        <v>420</v>
      </c>
      <c r="D145" s="1" t="s">
        <v>421</v>
      </c>
    </row>
    <row r="146" spans="1:4" x14ac:dyDescent="0.2">
      <c r="A146" t="s">
        <v>360</v>
      </c>
      <c r="B146" t="s">
        <v>422</v>
      </c>
      <c r="C146" s="26" t="s">
        <v>423</v>
      </c>
      <c r="D146" s="1" t="s">
        <v>424</v>
      </c>
    </row>
    <row r="147" spans="1:4" x14ac:dyDescent="0.2">
      <c r="A147" t="s">
        <v>360</v>
      </c>
      <c r="B147" t="s">
        <v>425</v>
      </c>
      <c r="C147" s="26" t="s">
        <v>426</v>
      </c>
      <c r="D147">
        <v>73.688351836734697</v>
      </c>
    </row>
    <row r="148" spans="1:4" x14ac:dyDescent="0.2">
      <c r="A148" t="s">
        <v>360</v>
      </c>
      <c r="B148" t="s">
        <v>427</v>
      </c>
      <c r="C148" s="26" t="s">
        <v>428</v>
      </c>
      <c r="D148" s="1" t="s">
        <v>429</v>
      </c>
    </row>
    <row r="149" spans="1:4" x14ac:dyDescent="0.2">
      <c r="A149" t="s">
        <v>360</v>
      </c>
      <c r="B149" t="s">
        <v>430</v>
      </c>
      <c r="C149" s="26" t="s">
        <v>431</v>
      </c>
      <c r="D149">
        <v>72.914858479834507</v>
      </c>
    </row>
    <row r="150" spans="1:4" x14ac:dyDescent="0.2">
      <c r="A150" t="s">
        <v>432</v>
      </c>
      <c r="B150" t="s">
        <v>433</v>
      </c>
      <c r="C150" s="26" t="s">
        <v>434</v>
      </c>
      <c r="D150" s="1" t="s">
        <v>435</v>
      </c>
    </row>
    <row r="151" spans="1:4" x14ac:dyDescent="0.2">
      <c r="A151" t="s">
        <v>432</v>
      </c>
      <c r="B151" t="s">
        <v>436</v>
      </c>
      <c r="C151" s="26" t="s">
        <v>437</v>
      </c>
      <c r="D151" s="1" t="s">
        <v>438</v>
      </c>
    </row>
    <row r="152" spans="1:4" x14ac:dyDescent="0.2">
      <c r="A152" t="s">
        <v>432</v>
      </c>
      <c r="B152" t="s">
        <v>439</v>
      </c>
      <c r="C152" s="26" t="s">
        <v>440</v>
      </c>
      <c r="D152" s="1" t="s">
        <v>441</v>
      </c>
    </row>
    <row r="153" spans="1:4" x14ac:dyDescent="0.2">
      <c r="A153" t="s">
        <v>432</v>
      </c>
      <c r="B153" t="s">
        <v>442</v>
      </c>
      <c r="C153" s="26" t="s">
        <v>443</v>
      </c>
      <c r="D153" s="1" t="s">
        <v>444</v>
      </c>
    </row>
    <row r="154" spans="1:4" x14ac:dyDescent="0.2">
      <c r="A154" t="s">
        <v>432</v>
      </c>
      <c r="B154" t="s">
        <v>445</v>
      </c>
      <c r="C154" s="26" t="s">
        <v>446</v>
      </c>
      <c r="D154" s="1" t="s">
        <v>447</v>
      </c>
    </row>
    <row r="155" spans="1:4" x14ac:dyDescent="0.2">
      <c r="A155" t="s">
        <v>432</v>
      </c>
      <c r="B155" t="s">
        <v>448</v>
      </c>
      <c r="C155" s="26" t="s">
        <v>449</v>
      </c>
      <c r="D155" s="1" t="s">
        <v>450</v>
      </c>
    </row>
    <row r="156" spans="1:4" x14ac:dyDescent="0.2">
      <c r="A156" t="s">
        <v>432</v>
      </c>
      <c r="B156" t="s">
        <v>451</v>
      </c>
      <c r="C156" s="26" t="s">
        <v>452</v>
      </c>
      <c r="D156" s="1" t="s">
        <v>453</v>
      </c>
    </row>
    <row r="157" spans="1:4" x14ac:dyDescent="0.2">
      <c r="A157" t="s">
        <v>432</v>
      </c>
      <c r="B157" t="s">
        <v>454</v>
      </c>
      <c r="C157" s="26" t="s">
        <v>455</v>
      </c>
      <c r="D157" s="1" t="s">
        <v>456</v>
      </c>
    </row>
    <row r="158" spans="1:4" x14ac:dyDescent="0.2">
      <c r="A158" t="s">
        <v>432</v>
      </c>
      <c r="B158" t="s">
        <v>457</v>
      </c>
      <c r="C158" s="26" t="s">
        <v>458</v>
      </c>
      <c r="D158" s="1" t="s">
        <v>459</v>
      </c>
    </row>
    <row r="159" spans="1:4" x14ac:dyDescent="0.2">
      <c r="A159" t="s">
        <v>432</v>
      </c>
      <c r="B159" t="s">
        <v>460</v>
      </c>
      <c r="C159" s="26" t="s">
        <v>461</v>
      </c>
      <c r="D159" s="1" t="s">
        <v>462</v>
      </c>
    </row>
    <row r="160" spans="1:4" x14ac:dyDescent="0.2">
      <c r="A160" t="s">
        <v>432</v>
      </c>
      <c r="B160" t="s">
        <v>463</v>
      </c>
      <c r="C160" s="26" t="s">
        <v>464</v>
      </c>
      <c r="D160" s="1" t="s">
        <v>465</v>
      </c>
    </row>
    <row r="161" spans="1:4" x14ac:dyDescent="0.2">
      <c r="A161" t="s">
        <v>432</v>
      </c>
      <c r="B161" t="s">
        <v>466</v>
      </c>
      <c r="C161" s="27">
        <v>28.135216145833301</v>
      </c>
      <c r="D161" s="1" t="s">
        <v>467</v>
      </c>
    </row>
    <row r="162" spans="1:4" x14ac:dyDescent="0.2">
      <c r="A162" t="s">
        <v>432</v>
      </c>
      <c r="B162" t="s">
        <v>468</v>
      </c>
      <c r="C162" s="26" t="s">
        <v>469</v>
      </c>
      <c r="D162" s="1" t="s">
        <v>470</v>
      </c>
    </row>
    <row r="163" spans="1:4" x14ac:dyDescent="0.2">
      <c r="A163" t="s">
        <v>432</v>
      </c>
      <c r="B163" t="s">
        <v>471</v>
      </c>
      <c r="C163" s="26" t="s">
        <v>472</v>
      </c>
      <c r="D163" s="1" t="s">
        <v>473</v>
      </c>
    </row>
    <row r="164" spans="1:4" x14ac:dyDescent="0.2">
      <c r="A164" t="s">
        <v>432</v>
      </c>
      <c r="B164" t="s">
        <v>474</v>
      </c>
      <c r="C164" s="26" t="s">
        <v>475</v>
      </c>
      <c r="D164" s="1" t="s">
        <v>476</v>
      </c>
    </row>
    <row r="165" spans="1:4" x14ac:dyDescent="0.2">
      <c r="A165" t="s">
        <v>432</v>
      </c>
      <c r="B165" t="s">
        <v>477</v>
      </c>
      <c r="C165" s="26" t="s">
        <v>478</v>
      </c>
      <c r="D165" s="1" t="s">
        <v>479</v>
      </c>
    </row>
    <row r="166" spans="1:4" x14ac:dyDescent="0.2">
      <c r="A166" t="s">
        <v>432</v>
      </c>
      <c r="B166" t="s">
        <v>480</v>
      </c>
      <c r="C166" s="26" t="s">
        <v>481</v>
      </c>
      <c r="D166" s="1" t="s">
        <v>482</v>
      </c>
    </row>
    <row r="167" spans="1:4" x14ac:dyDescent="0.2">
      <c r="A167" t="s">
        <v>432</v>
      </c>
      <c r="B167" t="s">
        <v>483</v>
      </c>
      <c r="C167" s="26" t="s">
        <v>484</v>
      </c>
      <c r="D167" s="1" t="s">
        <v>485</v>
      </c>
    </row>
    <row r="168" spans="1:4" x14ac:dyDescent="0.2">
      <c r="A168" t="s">
        <v>432</v>
      </c>
      <c r="B168" t="s">
        <v>486</v>
      </c>
      <c r="C168" s="26" t="s">
        <v>487</v>
      </c>
      <c r="D168" s="1" t="s">
        <v>488</v>
      </c>
    </row>
    <row r="169" spans="1:4" x14ac:dyDescent="0.2">
      <c r="A169" t="s">
        <v>489</v>
      </c>
      <c r="B169" t="s">
        <v>299</v>
      </c>
      <c r="C169" s="27">
        <v>31.378042290748901</v>
      </c>
      <c r="D169" s="1" t="s">
        <v>490</v>
      </c>
    </row>
    <row r="170" spans="1:4" x14ac:dyDescent="0.2">
      <c r="A170" t="s">
        <v>489</v>
      </c>
      <c r="B170" t="s">
        <v>491</v>
      </c>
      <c r="C170" s="26" t="s">
        <v>492</v>
      </c>
      <c r="D170" s="1" t="s">
        <v>493</v>
      </c>
    </row>
    <row r="171" spans="1:4" x14ac:dyDescent="0.2">
      <c r="A171" t="s">
        <v>489</v>
      </c>
      <c r="B171" t="s">
        <v>494</v>
      </c>
      <c r="C171" s="26" t="s">
        <v>495</v>
      </c>
      <c r="D171" s="1" t="s">
        <v>496</v>
      </c>
    </row>
    <row r="172" spans="1:4" x14ac:dyDescent="0.2">
      <c r="A172" t="s">
        <v>489</v>
      </c>
      <c r="B172" t="s">
        <v>497</v>
      </c>
      <c r="C172" s="26" t="s">
        <v>498</v>
      </c>
      <c r="D172" s="1" t="s">
        <v>499</v>
      </c>
    </row>
    <row r="173" spans="1:4" x14ac:dyDescent="0.2">
      <c r="A173" t="s">
        <v>489</v>
      </c>
      <c r="B173" t="s">
        <v>500</v>
      </c>
      <c r="C173" s="26" t="s">
        <v>501</v>
      </c>
      <c r="D173" s="1" t="s">
        <v>502</v>
      </c>
    </row>
    <row r="174" spans="1:4" x14ac:dyDescent="0.2">
      <c r="A174" t="s">
        <v>489</v>
      </c>
      <c r="B174" t="s">
        <v>503</v>
      </c>
      <c r="C174" s="26" t="s">
        <v>504</v>
      </c>
      <c r="D174" s="1" t="s">
        <v>505</v>
      </c>
    </row>
    <row r="175" spans="1:4" x14ac:dyDescent="0.2">
      <c r="A175" t="s">
        <v>489</v>
      </c>
      <c r="B175" t="s">
        <v>506</v>
      </c>
      <c r="C175" s="26" t="s">
        <v>507</v>
      </c>
      <c r="D175" s="1" t="s">
        <v>508</v>
      </c>
    </row>
    <row r="176" spans="1:4" x14ac:dyDescent="0.2">
      <c r="A176" t="s">
        <v>489</v>
      </c>
      <c r="B176" t="s">
        <v>509</v>
      </c>
      <c r="C176" s="26" t="s">
        <v>510</v>
      </c>
      <c r="D176" s="1" t="s">
        <v>511</v>
      </c>
    </row>
    <row r="177" spans="1:4" x14ac:dyDescent="0.2">
      <c r="A177" t="s">
        <v>489</v>
      </c>
      <c r="B177" t="s">
        <v>512</v>
      </c>
      <c r="C177" s="26" t="s">
        <v>513</v>
      </c>
      <c r="D177" s="1" t="s">
        <v>514</v>
      </c>
    </row>
    <row r="178" spans="1:4" x14ac:dyDescent="0.2">
      <c r="A178" t="s">
        <v>489</v>
      </c>
      <c r="B178" t="s">
        <v>515</v>
      </c>
      <c r="C178" s="26" t="s">
        <v>516</v>
      </c>
      <c r="D178" s="1" t="s">
        <v>517</v>
      </c>
    </row>
    <row r="179" spans="1:4" x14ac:dyDescent="0.2">
      <c r="A179" t="s">
        <v>489</v>
      </c>
      <c r="B179" t="s">
        <v>518</v>
      </c>
      <c r="C179" s="26" t="s">
        <v>519</v>
      </c>
      <c r="D179" s="1" t="s">
        <v>520</v>
      </c>
    </row>
    <row r="180" spans="1:4" x14ac:dyDescent="0.2">
      <c r="A180" t="s">
        <v>489</v>
      </c>
      <c r="B180" t="s">
        <v>521</v>
      </c>
      <c r="C180" s="26" t="s">
        <v>522</v>
      </c>
      <c r="D180" s="1" t="s">
        <v>523</v>
      </c>
    </row>
    <row r="181" spans="1:4" x14ac:dyDescent="0.2">
      <c r="A181" t="s">
        <v>524</v>
      </c>
      <c r="B181" t="s">
        <v>525</v>
      </c>
      <c r="C181" s="26" t="s">
        <v>526</v>
      </c>
      <c r="D181" s="1" t="s">
        <v>527</v>
      </c>
    </row>
    <row r="182" spans="1:4" x14ac:dyDescent="0.2">
      <c r="A182" t="s">
        <v>524</v>
      </c>
      <c r="B182" t="s">
        <v>528</v>
      </c>
      <c r="C182" s="26" t="s">
        <v>529</v>
      </c>
      <c r="D182" s="1" t="s">
        <v>530</v>
      </c>
    </row>
    <row r="183" spans="1:4" x14ac:dyDescent="0.2">
      <c r="A183" t="s">
        <v>524</v>
      </c>
      <c r="B183" t="s">
        <v>531</v>
      </c>
      <c r="C183" s="26" t="s">
        <v>532</v>
      </c>
      <c r="D183" s="1" t="s">
        <v>533</v>
      </c>
    </row>
    <row r="184" spans="1:4" x14ac:dyDescent="0.2">
      <c r="A184" t="s">
        <v>524</v>
      </c>
      <c r="B184" t="s">
        <v>534</v>
      </c>
      <c r="C184" s="26" t="s">
        <v>535</v>
      </c>
      <c r="D184" s="1" t="s">
        <v>536</v>
      </c>
    </row>
    <row r="185" spans="1:4" x14ac:dyDescent="0.2">
      <c r="A185" t="s">
        <v>524</v>
      </c>
      <c r="B185" t="s">
        <v>537</v>
      </c>
      <c r="C185" s="26" t="s">
        <v>538</v>
      </c>
      <c r="D185">
        <v>74.847752036199097</v>
      </c>
    </row>
    <row r="186" spans="1:4" x14ac:dyDescent="0.2">
      <c r="A186" t="s">
        <v>524</v>
      </c>
      <c r="B186" t="s">
        <v>539</v>
      </c>
      <c r="C186" s="26" t="s">
        <v>540</v>
      </c>
      <c r="D186" s="1" t="s">
        <v>541</v>
      </c>
    </row>
    <row r="187" spans="1:4" x14ac:dyDescent="0.2">
      <c r="A187" t="s">
        <v>524</v>
      </c>
      <c r="B187" t="s">
        <v>542</v>
      </c>
      <c r="C187" s="26" t="s">
        <v>543</v>
      </c>
      <c r="D187" s="1" t="s">
        <v>544</v>
      </c>
    </row>
    <row r="188" spans="1:4" x14ac:dyDescent="0.2">
      <c r="A188" t="s">
        <v>524</v>
      </c>
      <c r="B188" t="s">
        <v>545</v>
      </c>
      <c r="C188" s="26" t="s">
        <v>546</v>
      </c>
      <c r="D188" s="1" t="s">
        <v>547</v>
      </c>
    </row>
    <row r="189" spans="1:4" x14ac:dyDescent="0.2">
      <c r="A189" t="s">
        <v>524</v>
      </c>
      <c r="B189" t="s">
        <v>548</v>
      </c>
      <c r="C189" s="26" t="s">
        <v>549</v>
      </c>
      <c r="D189" s="1" t="s">
        <v>550</v>
      </c>
    </row>
    <row r="190" spans="1:4" x14ac:dyDescent="0.2">
      <c r="A190" t="s">
        <v>524</v>
      </c>
      <c r="B190" t="s">
        <v>551</v>
      </c>
      <c r="C190" s="26" t="s">
        <v>552</v>
      </c>
      <c r="D190" s="1" t="s">
        <v>553</v>
      </c>
    </row>
    <row r="191" spans="1:4" x14ac:dyDescent="0.2">
      <c r="A191" t="s">
        <v>524</v>
      </c>
      <c r="B191" t="s">
        <v>554</v>
      </c>
      <c r="C191" s="26" t="s">
        <v>555</v>
      </c>
      <c r="D191" s="1" t="s">
        <v>556</v>
      </c>
    </row>
    <row r="192" spans="1:4" x14ac:dyDescent="0.2">
      <c r="A192" t="s">
        <v>524</v>
      </c>
      <c r="B192" t="s">
        <v>557</v>
      </c>
      <c r="C192" s="26" t="s">
        <v>558</v>
      </c>
      <c r="D192" s="1" t="s">
        <v>559</v>
      </c>
    </row>
    <row r="193" spans="1:4" x14ac:dyDescent="0.2">
      <c r="A193" t="s">
        <v>524</v>
      </c>
      <c r="B193" t="s">
        <v>560</v>
      </c>
      <c r="C193" s="26" t="s">
        <v>561</v>
      </c>
      <c r="D193" s="1" t="s">
        <v>562</v>
      </c>
    </row>
    <row r="194" spans="1:4" x14ac:dyDescent="0.2">
      <c r="A194" t="s">
        <v>524</v>
      </c>
      <c r="B194" t="s">
        <v>563</v>
      </c>
      <c r="C194" s="26" t="s">
        <v>564</v>
      </c>
      <c r="D194" s="1" t="s">
        <v>565</v>
      </c>
    </row>
    <row r="195" spans="1:4" x14ac:dyDescent="0.2">
      <c r="A195" t="s">
        <v>566</v>
      </c>
      <c r="B195" t="s">
        <v>567</v>
      </c>
      <c r="C195" s="27">
        <v>23.681496503496501</v>
      </c>
      <c r="D195" s="1" t="s">
        <v>568</v>
      </c>
    </row>
    <row r="196" spans="1:4" x14ac:dyDescent="0.2">
      <c r="A196" t="s">
        <v>566</v>
      </c>
      <c r="B196" t="s">
        <v>569</v>
      </c>
      <c r="C196" s="26" t="s">
        <v>570</v>
      </c>
      <c r="D196" s="1" t="s">
        <v>571</v>
      </c>
    </row>
    <row r="197" spans="1:4" x14ac:dyDescent="0.2">
      <c r="A197" t="s">
        <v>566</v>
      </c>
      <c r="B197" t="s">
        <v>572</v>
      </c>
      <c r="C197" s="26" t="s">
        <v>573</v>
      </c>
      <c r="D197" s="1" t="s">
        <v>574</v>
      </c>
    </row>
    <row r="198" spans="1:4" x14ac:dyDescent="0.2">
      <c r="A198" t="s">
        <v>566</v>
      </c>
      <c r="B198" t="s">
        <v>575</v>
      </c>
      <c r="C198" s="26" t="s">
        <v>576</v>
      </c>
      <c r="D198" s="1" t="s">
        <v>577</v>
      </c>
    </row>
    <row r="199" spans="1:4" x14ac:dyDescent="0.2">
      <c r="A199" t="s">
        <v>566</v>
      </c>
      <c r="B199" t="s">
        <v>578</v>
      </c>
      <c r="C199" s="26" t="s">
        <v>579</v>
      </c>
      <c r="D199" s="1" t="s">
        <v>580</v>
      </c>
    </row>
    <row r="200" spans="1:4" x14ac:dyDescent="0.2">
      <c r="A200" t="s">
        <v>566</v>
      </c>
      <c r="B200" t="s">
        <v>581</v>
      </c>
      <c r="C200" s="26" t="s">
        <v>582</v>
      </c>
      <c r="D200" s="1" t="s">
        <v>583</v>
      </c>
    </row>
    <row r="201" spans="1:4" x14ac:dyDescent="0.2">
      <c r="A201" t="s">
        <v>566</v>
      </c>
      <c r="B201" t="s">
        <v>584</v>
      </c>
      <c r="C201" s="26" t="s">
        <v>585</v>
      </c>
      <c r="D201" s="1" t="s">
        <v>586</v>
      </c>
    </row>
    <row r="202" spans="1:4" x14ac:dyDescent="0.2">
      <c r="A202" t="s">
        <v>566</v>
      </c>
      <c r="B202" t="s">
        <v>587</v>
      </c>
      <c r="C202" s="26" t="s">
        <v>588</v>
      </c>
      <c r="D202">
        <v>87.294173548387107</v>
      </c>
    </row>
    <row r="203" spans="1:4" x14ac:dyDescent="0.2">
      <c r="A203" t="s">
        <v>566</v>
      </c>
      <c r="B203" t="s">
        <v>589</v>
      </c>
      <c r="C203" s="26" t="s">
        <v>590</v>
      </c>
      <c r="D203" s="1" t="s">
        <v>591</v>
      </c>
    </row>
    <row r="204" spans="1:4" x14ac:dyDescent="0.2">
      <c r="A204" t="s">
        <v>566</v>
      </c>
      <c r="B204" t="s">
        <v>592</v>
      </c>
      <c r="C204" s="26" t="s">
        <v>593</v>
      </c>
      <c r="D204" s="1" t="s">
        <v>594</v>
      </c>
    </row>
    <row r="205" spans="1:4" x14ac:dyDescent="0.2">
      <c r="A205" t="s">
        <v>566</v>
      </c>
      <c r="B205" t="s">
        <v>595</v>
      </c>
      <c r="C205" s="26" t="s">
        <v>596</v>
      </c>
      <c r="D205" s="1" t="s">
        <v>597</v>
      </c>
    </row>
    <row r="206" spans="1:4" x14ac:dyDescent="0.2">
      <c r="A206" t="s">
        <v>566</v>
      </c>
      <c r="B206" t="s">
        <v>598</v>
      </c>
      <c r="C206" s="26" t="s">
        <v>599</v>
      </c>
      <c r="D206">
        <v>85.7169091872792</v>
      </c>
    </row>
    <row r="207" spans="1:4" x14ac:dyDescent="0.2">
      <c r="A207" t="s">
        <v>566</v>
      </c>
      <c r="B207" t="s">
        <v>600</v>
      </c>
      <c r="C207" s="26" t="s">
        <v>601</v>
      </c>
      <c r="D207" s="1" t="s">
        <v>602</v>
      </c>
    </row>
    <row r="208" spans="1:4" x14ac:dyDescent="0.2">
      <c r="A208" t="s">
        <v>566</v>
      </c>
      <c r="B208" t="s">
        <v>603</v>
      </c>
      <c r="C208" s="26" t="s">
        <v>604</v>
      </c>
      <c r="D208">
        <v>84.660516906474797</v>
      </c>
    </row>
    <row r="209" spans="1:4" x14ac:dyDescent="0.2">
      <c r="A209" t="s">
        <v>566</v>
      </c>
      <c r="B209" t="s">
        <v>605</v>
      </c>
      <c r="C209" s="26" t="s">
        <v>606</v>
      </c>
      <c r="D209" s="1" t="s">
        <v>607</v>
      </c>
    </row>
    <row r="210" spans="1:4" x14ac:dyDescent="0.2">
      <c r="A210" t="s">
        <v>566</v>
      </c>
      <c r="B210" t="s">
        <v>608</v>
      </c>
      <c r="C210" s="26" t="s">
        <v>609</v>
      </c>
      <c r="D210" s="1" t="s">
        <v>610</v>
      </c>
    </row>
    <row r="211" spans="1:4" x14ac:dyDescent="0.2">
      <c r="A211" t="s">
        <v>566</v>
      </c>
      <c r="B211" t="s">
        <v>611</v>
      </c>
      <c r="C211" s="26" t="s">
        <v>612</v>
      </c>
      <c r="D211">
        <v>85.540984104938204</v>
      </c>
    </row>
    <row r="212" spans="1:4" x14ac:dyDescent="0.2">
      <c r="A212" t="s">
        <v>566</v>
      </c>
      <c r="B212" t="s">
        <v>613</v>
      </c>
      <c r="C212" s="26" t="s">
        <v>614</v>
      </c>
      <c r="D212" s="1" t="s">
        <v>615</v>
      </c>
    </row>
    <row r="213" spans="1:4" x14ac:dyDescent="0.2">
      <c r="A213" t="s">
        <v>566</v>
      </c>
      <c r="B213" t="s">
        <v>616</v>
      </c>
      <c r="C213" s="26" t="s">
        <v>617</v>
      </c>
      <c r="D213" s="1" t="s">
        <v>618</v>
      </c>
    </row>
    <row r="214" spans="1:4" x14ac:dyDescent="0.2">
      <c r="A214" t="s">
        <v>566</v>
      </c>
      <c r="B214" t="s">
        <v>619</v>
      </c>
      <c r="C214" s="26" t="s">
        <v>620</v>
      </c>
      <c r="D214" s="1" t="s">
        <v>621</v>
      </c>
    </row>
    <row r="215" spans="1:4" x14ac:dyDescent="0.2">
      <c r="A215" t="s">
        <v>566</v>
      </c>
      <c r="B215" t="s">
        <v>622</v>
      </c>
      <c r="C215" s="26" t="s">
        <v>623</v>
      </c>
      <c r="D215" s="1" t="s">
        <v>624</v>
      </c>
    </row>
    <row r="216" spans="1:4" x14ac:dyDescent="0.2">
      <c r="A216" t="s">
        <v>566</v>
      </c>
      <c r="B216" t="s">
        <v>625</v>
      </c>
      <c r="C216" s="26" t="s">
        <v>626</v>
      </c>
      <c r="D216" s="1" t="s">
        <v>627</v>
      </c>
    </row>
    <row r="217" spans="1:4" x14ac:dyDescent="0.2">
      <c r="A217" t="s">
        <v>628</v>
      </c>
      <c r="B217" t="s">
        <v>629</v>
      </c>
      <c r="C217" s="26" t="s">
        <v>630</v>
      </c>
      <c r="D217" s="1" t="s">
        <v>631</v>
      </c>
    </row>
    <row r="218" spans="1:4" x14ac:dyDescent="0.2">
      <c r="A218" t="s">
        <v>628</v>
      </c>
      <c r="B218" t="s">
        <v>632</v>
      </c>
      <c r="C218" s="26" t="s">
        <v>633</v>
      </c>
      <c r="D218" s="1" t="s">
        <v>634</v>
      </c>
    </row>
    <row r="219" spans="1:4" x14ac:dyDescent="0.2">
      <c r="A219" t="s">
        <v>628</v>
      </c>
      <c r="B219" t="s">
        <v>635</v>
      </c>
      <c r="C219" s="26" t="s">
        <v>636</v>
      </c>
      <c r="D219" s="1" t="s">
        <v>637</v>
      </c>
    </row>
    <row r="220" spans="1:4" x14ac:dyDescent="0.2">
      <c r="A220" t="s">
        <v>628</v>
      </c>
      <c r="B220" t="s">
        <v>638</v>
      </c>
      <c r="C220" s="26" t="s">
        <v>639</v>
      </c>
      <c r="D220" s="1" t="s">
        <v>640</v>
      </c>
    </row>
    <row r="221" spans="1:4" x14ac:dyDescent="0.2">
      <c r="A221" t="s">
        <v>628</v>
      </c>
      <c r="B221" t="s">
        <v>641</v>
      </c>
      <c r="C221" s="26" t="s">
        <v>642</v>
      </c>
      <c r="D221" s="1" t="s">
        <v>643</v>
      </c>
    </row>
    <row r="222" spans="1:4" x14ac:dyDescent="0.2">
      <c r="A222" t="s">
        <v>628</v>
      </c>
      <c r="B222" t="s">
        <v>644</v>
      </c>
      <c r="C222" s="26" t="s">
        <v>645</v>
      </c>
      <c r="D222" s="1" t="s">
        <v>646</v>
      </c>
    </row>
    <row r="223" spans="1:4" x14ac:dyDescent="0.2">
      <c r="A223" t="s">
        <v>628</v>
      </c>
      <c r="B223" t="s">
        <v>647</v>
      </c>
      <c r="C223" s="26" t="s">
        <v>648</v>
      </c>
      <c r="D223" s="1" t="s">
        <v>649</v>
      </c>
    </row>
    <row r="224" spans="1:4" x14ac:dyDescent="0.2">
      <c r="A224" t="s">
        <v>628</v>
      </c>
      <c r="B224" t="s">
        <v>650</v>
      </c>
      <c r="C224" s="26" t="s">
        <v>651</v>
      </c>
      <c r="D224" s="1" t="s">
        <v>652</v>
      </c>
    </row>
    <row r="225" spans="1:4" x14ac:dyDescent="0.2">
      <c r="A225" t="s">
        <v>628</v>
      </c>
      <c r="B225" t="s">
        <v>653</v>
      </c>
      <c r="C225" s="26" t="s">
        <v>654</v>
      </c>
      <c r="D225" s="1" t="s">
        <v>655</v>
      </c>
    </row>
    <row r="226" spans="1:4" x14ac:dyDescent="0.2">
      <c r="A226" t="s">
        <v>628</v>
      </c>
      <c r="B226" t="s">
        <v>656</v>
      </c>
      <c r="C226" s="26" t="s">
        <v>657</v>
      </c>
      <c r="D226" s="1" t="s">
        <v>658</v>
      </c>
    </row>
    <row r="227" spans="1:4" x14ac:dyDescent="0.2">
      <c r="A227" t="s">
        <v>628</v>
      </c>
      <c r="B227" t="s">
        <v>659</v>
      </c>
      <c r="C227" s="26" t="s">
        <v>660</v>
      </c>
      <c r="D227" s="1" t="s">
        <v>661</v>
      </c>
    </row>
    <row r="228" spans="1:4" x14ac:dyDescent="0.2">
      <c r="A228" t="s">
        <v>628</v>
      </c>
      <c r="B228" t="s">
        <v>662</v>
      </c>
      <c r="C228" s="26" t="s">
        <v>663</v>
      </c>
      <c r="D228" s="1" t="s">
        <v>664</v>
      </c>
    </row>
    <row r="229" spans="1:4" x14ac:dyDescent="0.2">
      <c r="A229" t="s">
        <v>628</v>
      </c>
      <c r="B229" t="s">
        <v>665</v>
      </c>
      <c r="C229" s="26" t="s">
        <v>666</v>
      </c>
      <c r="D229" s="1" t="s">
        <v>667</v>
      </c>
    </row>
    <row r="230" spans="1:4" x14ac:dyDescent="0.2">
      <c r="A230" t="s">
        <v>628</v>
      </c>
      <c r="B230" t="s">
        <v>668</v>
      </c>
      <c r="C230" s="26" t="s">
        <v>669</v>
      </c>
      <c r="D230" s="1" t="s">
        <v>670</v>
      </c>
    </row>
    <row r="231" spans="1:4" x14ac:dyDescent="0.2">
      <c r="A231" t="s">
        <v>628</v>
      </c>
      <c r="B231" t="s">
        <v>671</v>
      </c>
      <c r="C231" s="26" t="s">
        <v>672</v>
      </c>
      <c r="D231" s="1" t="s">
        <v>673</v>
      </c>
    </row>
    <row r="232" spans="1:4" x14ac:dyDescent="0.2">
      <c r="A232" t="s">
        <v>628</v>
      </c>
      <c r="B232" t="s">
        <v>674</v>
      </c>
      <c r="C232" s="26" t="s">
        <v>675</v>
      </c>
      <c r="D232" s="1" t="s">
        <v>676</v>
      </c>
    </row>
    <row r="233" spans="1:4" x14ac:dyDescent="0.2">
      <c r="A233" t="s">
        <v>628</v>
      </c>
      <c r="B233" t="s">
        <v>677</v>
      </c>
      <c r="C233" s="26" t="s">
        <v>678</v>
      </c>
      <c r="D233">
        <v>75.396123060796597</v>
      </c>
    </row>
    <row r="234" spans="1:4" x14ac:dyDescent="0.2">
      <c r="A234" t="s">
        <v>628</v>
      </c>
      <c r="B234" t="s">
        <v>679</v>
      </c>
      <c r="C234" s="26" t="s">
        <v>680</v>
      </c>
      <c r="D234" s="1" t="s">
        <v>681</v>
      </c>
    </row>
    <row r="235" spans="1:4" x14ac:dyDescent="0.2">
      <c r="A235" t="s">
        <v>628</v>
      </c>
      <c r="B235" t="s">
        <v>682</v>
      </c>
      <c r="C235" s="26" t="s">
        <v>683</v>
      </c>
      <c r="D235" s="1" t="s">
        <v>684</v>
      </c>
    </row>
    <row r="236" spans="1:4" x14ac:dyDescent="0.2">
      <c r="A236" t="s">
        <v>628</v>
      </c>
      <c r="B236" t="s">
        <v>685</v>
      </c>
      <c r="C236" s="26" t="s">
        <v>686</v>
      </c>
      <c r="D236">
        <v>76.161704859813099</v>
      </c>
    </row>
    <row r="237" spans="1:4" x14ac:dyDescent="0.2">
      <c r="A237" t="s">
        <v>628</v>
      </c>
      <c r="B237" t="s">
        <v>687</v>
      </c>
      <c r="C237" s="26" t="s">
        <v>688</v>
      </c>
      <c r="D237" s="1" t="s">
        <v>689</v>
      </c>
    </row>
    <row r="238" spans="1:4" x14ac:dyDescent="0.2">
      <c r="A238" t="s">
        <v>628</v>
      </c>
      <c r="B238" t="s">
        <v>690</v>
      </c>
      <c r="C238" s="26" t="s">
        <v>691</v>
      </c>
      <c r="D238" s="1" t="s">
        <v>692</v>
      </c>
    </row>
    <row r="239" spans="1:4" x14ac:dyDescent="0.2">
      <c r="A239" t="s">
        <v>628</v>
      </c>
      <c r="B239" t="s">
        <v>693</v>
      </c>
      <c r="C239" s="26" t="s">
        <v>694</v>
      </c>
      <c r="D239" s="1" t="s">
        <v>695</v>
      </c>
    </row>
    <row r="240" spans="1:4" x14ac:dyDescent="0.2">
      <c r="A240" t="s">
        <v>628</v>
      </c>
      <c r="B240" t="s">
        <v>696</v>
      </c>
      <c r="C240" s="26" t="s">
        <v>697</v>
      </c>
      <c r="D240" s="1" t="s">
        <v>698</v>
      </c>
    </row>
    <row r="241" spans="1:4" x14ac:dyDescent="0.2">
      <c r="A241" t="s">
        <v>628</v>
      </c>
      <c r="B241" t="s">
        <v>699</v>
      </c>
      <c r="C241" s="26" t="s">
        <v>700</v>
      </c>
      <c r="D241" s="1" t="s">
        <v>701</v>
      </c>
    </row>
    <row r="242" spans="1:4" x14ac:dyDescent="0.2">
      <c r="A242" t="s">
        <v>628</v>
      </c>
      <c r="B242" t="s">
        <v>702</v>
      </c>
      <c r="C242" s="26" t="s">
        <v>703</v>
      </c>
      <c r="D242" s="1" t="s">
        <v>704</v>
      </c>
    </row>
    <row r="243" spans="1:4" x14ac:dyDescent="0.2">
      <c r="A243" t="s">
        <v>628</v>
      </c>
      <c r="B243" t="s">
        <v>705</v>
      </c>
      <c r="C243" s="26" t="s">
        <v>706</v>
      </c>
      <c r="D243" s="1" t="s">
        <v>707</v>
      </c>
    </row>
    <row r="244" spans="1:4" x14ac:dyDescent="0.2">
      <c r="A244" t="s">
        <v>708</v>
      </c>
      <c r="B244" t="s">
        <v>709</v>
      </c>
      <c r="C244" s="26" t="s">
        <v>710</v>
      </c>
      <c r="D244" s="1" t="s">
        <v>711</v>
      </c>
    </row>
    <row r="245" spans="1:4" x14ac:dyDescent="0.2">
      <c r="A245" t="s">
        <v>708</v>
      </c>
      <c r="B245" t="s">
        <v>712</v>
      </c>
      <c r="C245" s="26" t="s">
        <v>713</v>
      </c>
      <c r="D245" s="1" t="s">
        <v>714</v>
      </c>
    </row>
    <row r="246" spans="1:4" x14ac:dyDescent="0.2">
      <c r="A246" t="s">
        <v>708</v>
      </c>
      <c r="B246" t="s">
        <v>715</v>
      </c>
      <c r="C246" s="27">
        <v>9.8048096385542305</v>
      </c>
      <c r="D246" s="1" t="s">
        <v>716</v>
      </c>
    </row>
    <row r="247" spans="1:4" x14ac:dyDescent="0.2">
      <c r="A247" t="s">
        <v>708</v>
      </c>
      <c r="B247" t="s">
        <v>717</v>
      </c>
      <c r="C247" s="26" t="s">
        <v>718</v>
      </c>
      <c r="D247" s="1" t="s">
        <v>719</v>
      </c>
    </row>
    <row r="248" spans="1:4" x14ac:dyDescent="0.2">
      <c r="A248" t="s">
        <v>708</v>
      </c>
      <c r="B248" t="s">
        <v>720</v>
      </c>
      <c r="C248" s="26" t="s">
        <v>721</v>
      </c>
      <c r="D248" s="1" t="s">
        <v>722</v>
      </c>
    </row>
    <row r="249" spans="1:4" x14ac:dyDescent="0.2">
      <c r="A249" t="s">
        <v>708</v>
      </c>
      <c r="B249" t="s">
        <v>723</v>
      </c>
      <c r="C249" s="26" t="s">
        <v>724</v>
      </c>
      <c r="D249">
        <v>76.6360775852431</v>
      </c>
    </row>
    <row r="250" spans="1:4" x14ac:dyDescent="0.2">
      <c r="A250" t="s">
        <v>708</v>
      </c>
      <c r="B250" t="s">
        <v>725</v>
      </c>
      <c r="C250" s="26" t="s">
        <v>726</v>
      </c>
      <c r="D250" s="1" t="s">
        <v>727</v>
      </c>
    </row>
    <row r="251" spans="1:4" x14ac:dyDescent="0.2">
      <c r="A251" t="s">
        <v>708</v>
      </c>
      <c r="B251" t="s">
        <v>728</v>
      </c>
      <c r="C251" s="26" t="s">
        <v>729</v>
      </c>
      <c r="D251" s="1" t="s">
        <v>730</v>
      </c>
    </row>
    <row r="252" spans="1:4" x14ac:dyDescent="0.2">
      <c r="A252" t="s">
        <v>708</v>
      </c>
      <c r="B252" t="s">
        <v>731</v>
      </c>
      <c r="C252" s="26" t="s">
        <v>732</v>
      </c>
      <c r="D252" s="1" t="s">
        <v>733</v>
      </c>
    </row>
    <row r="253" spans="1:4" x14ac:dyDescent="0.2">
      <c r="A253" t="s">
        <v>708</v>
      </c>
      <c r="B253" t="s">
        <v>734</v>
      </c>
      <c r="C253" s="26" t="s">
        <v>735</v>
      </c>
      <c r="D253" s="1" t="s">
        <v>736</v>
      </c>
    </row>
    <row r="254" spans="1:4" x14ac:dyDescent="0.2">
      <c r="A254" t="s">
        <v>708</v>
      </c>
      <c r="B254" t="s">
        <v>737</v>
      </c>
      <c r="C254" s="26" t="s">
        <v>738</v>
      </c>
      <c r="D254" s="1" t="s">
        <v>739</v>
      </c>
    </row>
    <row r="255" spans="1:4" x14ac:dyDescent="0.2">
      <c r="A255" t="s">
        <v>708</v>
      </c>
      <c r="B255" t="s">
        <v>740</v>
      </c>
      <c r="C255" s="26" t="s">
        <v>741</v>
      </c>
      <c r="D255" s="1" t="s">
        <v>742</v>
      </c>
    </row>
    <row r="256" spans="1:4" x14ac:dyDescent="0.2">
      <c r="A256" t="s">
        <v>708</v>
      </c>
      <c r="B256" t="s">
        <v>743</v>
      </c>
      <c r="C256" s="26" t="s">
        <v>744</v>
      </c>
      <c r="D256" s="1" t="s">
        <v>745</v>
      </c>
    </row>
    <row r="257" spans="1:4" x14ac:dyDescent="0.2">
      <c r="A257" t="s">
        <v>708</v>
      </c>
      <c r="B257" t="s">
        <v>746</v>
      </c>
      <c r="C257" s="26" t="s">
        <v>747</v>
      </c>
      <c r="D257" s="1" t="s">
        <v>748</v>
      </c>
    </row>
    <row r="258" spans="1:4" x14ac:dyDescent="0.2">
      <c r="A258" t="s">
        <v>749</v>
      </c>
      <c r="B258" t="s">
        <v>750</v>
      </c>
      <c r="C258" s="26" t="s">
        <v>751</v>
      </c>
      <c r="D258" s="1" t="s">
        <v>752</v>
      </c>
    </row>
    <row r="259" spans="1:4" x14ac:dyDescent="0.2">
      <c r="A259" t="s">
        <v>753</v>
      </c>
      <c r="B259" t="s">
        <v>754</v>
      </c>
      <c r="C259" s="26" t="s">
        <v>755</v>
      </c>
      <c r="D259" s="1" t="s">
        <v>756</v>
      </c>
    </row>
    <row r="260" spans="1:4" x14ac:dyDescent="0.2">
      <c r="A260" t="s">
        <v>753</v>
      </c>
      <c r="B260" t="s">
        <v>757</v>
      </c>
      <c r="C260" s="26" t="s">
        <v>758</v>
      </c>
      <c r="D260" s="1" t="s">
        <v>759</v>
      </c>
    </row>
    <row r="261" spans="1:4" x14ac:dyDescent="0.2">
      <c r="A261" t="s">
        <v>753</v>
      </c>
      <c r="B261" t="s">
        <v>760</v>
      </c>
      <c r="C261" s="26" t="s">
        <v>761</v>
      </c>
      <c r="D261" s="1" t="s">
        <v>762</v>
      </c>
    </row>
    <row r="262" spans="1:4" x14ac:dyDescent="0.2">
      <c r="A262" t="s">
        <v>753</v>
      </c>
      <c r="B262" t="s">
        <v>763</v>
      </c>
      <c r="C262" s="26" t="s">
        <v>764</v>
      </c>
      <c r="D262" s="1" t="s">
        <v>765</v>
      </c>
    </row>
    <row r="263" spans="1:4" x14ac:dyDescent="0.2">
      <c r="A263" t="s">
        <v>753</v>
      </c>
      <c r="B263" t="s">
        <v>766</v>
      </c>
      <c r="C263" s="26" t="s">
        <v>767</v>
      </c>
      <c r="D263">
        <v>77.787342818911696</v>
      </c>
    </row>
    <row r="264" spans="1:4" x14ac:dyDescent="0.2">
      <c r="A264" t="s">
        <v>753</v>
      </c>
      <c r="B264" t="s">
        <v>768</v>
      </c>
      <c r="C264" s="26" t="s">
        <v>769</v>
      </c>
      <c r="D264">
        <v>78.761832428765302</v>
      </c>
    </row>
    <row r="265" spans="1:4" x14ac:dyDescent="0.2">
      <c r="A265" t="s">
        <v>753</v>
      </c>
      <c r="B265" t="s">
        <v>770</v>
      </c>
      <c r="C265" s="26" t="s">
        <v>771</v>
      </c>
      <c r="D265" s="1" t="s">
        <v>772</v>
      </c>
    </row>
    <row r="266" spans="1:4" x14ac:dyDescent="0.2">
      <c r="A266" t="s">
        <v>753</v>
      </c>
      <c r="B266" t="s">
        <v>773</v>
      </c>
      <c r="C266" s="26" t="s">
        <v>774</v>
      </c>
      <c r="D266" s="1" t="s">
        <v>775</v>
      </c>
    </row>
    <row r="267" spans="1:4" x14ac:dyDescent="0.2">
      <c r="A267" t="s">
        <v>753</v>
      </c>
      <c r="B267" t="s">
        <v>776</v>
      </c>
      <c r="C267" s="26" t="s">
        <v>777</v>
      </c>
      <c r="D267" s="1" t="s">
        <v>778</v>
      </c>
    </row>
    <row r="268" spans="1:4" x14ac:dyDescent="0.2">
      <c r="A268" t="s">
        <v>753</v>
      </c>
      <c r="B268" t="s">
        <v>779</v>
      </c>
      <c r="C268" s="26" t="s">
        <v>780</v>
      </c>
      <c r="D268" s="1" t="s">
        <v>781</v>
      </c>
    </row>
    <row r="269" spans="1:4" x14ac:dyDescent="0.2">
      <c r="A269" t="s">
        <v>753</v>
      </c>
      <c r="B269" t="s">
        <v>782</v>
      </c>
      <c r="C269" s="26" t="s">
        <v>783</v>
      </c>
      <c r="D269" s="1" t="s">
        <v>784</v>
      </c>
    </row>
    <row r="270" spans="1:4" x14ac:dyDescent="0.2">
      <c r="A270" t="s">
        <v>753</v>
      </c>
      <c r="B270" t="s">
        <v>785</v>
      </c>
      <c r="C270" s="26" t="s">
        <v>786</v>
      </c>
      <c r="D270" s="1" t="s">
        <v>787</v>
      </c>
    </row>
    <row r="271" spans="1:4" x14ac:dyDescent="0.2">
      <c r="A271" t="s">
        <v>753</v>
      </c>
      <c r="B271" t="s">
        <v>788</v>
      </c>
      <c r="C271" s="27">
        <v>22.785111002132201</v>
      </c>
      <c r="D271" s="1" t="s">
        <v>789</v>
      </c>
    </row>
    <row r="272" spans="1:4" x14ac:dyDescent="0.2">
      <c r="A272" t="s">
        <v>753</v>
      </c>
      <c r="B272" t="s">
        <v>790</v>
      </c>
      <c r="C272" s="26" t="s">
        <v>791</v>
      </c>
      <c r="D272">
        <v>75.110562073669797</v>
      </c>
    </row>
    <row r="273" spans="1:4" x14ac:dyDescent="0.2">
      <c r="A273" t="s">
        <v>753</v>
      </c>
      <c r="B273" t="s">
        <v>792</v>
      </c>
      <c r="C273" s="26" t="s">
        <v>793</v>
      </c>
      <c r="D273" s="1" t="s">
        <v>794</v>
      </c>
    </row>
    <row r="274" spans="1:4" x14ac:dyDescent="0.2">
      <c r="A274" t="s">
        <v>753</v>
      </c>
      <c r="B274" t="s">
        <v>795</v>
      </c>
      <c r="C274" s="26" t="s">
        <v>796</v>
      </c>
      <c r="D274" s="1" t="s">
        <v>797</v>
      </c>
    </row>
    <row r="275" spans="1:4" x14ac:dyDescent="0.2">
      <c r="A275" t="s">
        <v>753</v>
      </c>
      <c r="B275" t="s">
        <v>798</v>
      </c>
      <c r="C275" s="26" t="s">
        <v>799</v>
      </c>
      <c r="D275">
        <v>77.223589596879094</v>
      </c>
    </row>
    <row r="276" spans="1:4" x14ac:dyDescent="0.2">
      <c r="A276" t="s">
        <v>753</v>
      </c>
      <c r="B276" t="s">
        <v>800</v>
      </c>
      <c r="C276" s="26" t="s">
        <v>801</v>
      </c>
      <c r="D276" s="1" t="s">
        <v>802</v>
      </c>
    </row>
    <row r="277" spans="1:4" x14ac:dyDescent="0.2">
      <c r="A277" t="s">
        <v>753</v>
      </c>
      <c r="B277" t="s">
        <v>803</v>
      </c>
      <c r="C277" s="26" t="s">
        <v>804</v>
      </c>
      <c r="D277" s="1" t="s">
        <v>805</v>
      </c>
    </row>
    <row r="278" spans="1:4" x14ac:dyDescent="0.2">
      <c r="A278" t="s">
        <v>753</v>
      </c>
      <c r="B278" t="s">
        <v>806</v>
      </c>
      <c r="C278" s="26" t="s">
        <v>807</v>
      </c>
      <c r="D278" s="1" t="s">
        <v>808</v>
      </c>
    </row>
    <row r="279" spans="1:4" x14ac:dyDescent="0.2">
      <c r="A279" t="s">
        <v>753</v>
      </c>
      <c r="B279" t="s">
        <v>809</v>
      </c>
      <c r="C279" s="26" t="s">
        <v>810</v>
      </c>
      <c r="D279">
        <v>75.9133801324502</v>
      </c>
    </row>
    <row r="280" spans="1:4" x14ac:dyDescent="0.2">
      <c r="A280" t="s">
        <v>753</v>
      </c>
      <c r="B280" t="s">
        <v>811</v>
      </c>
      <c r="C280" s="26" t="s">
        <v>812</v>
      </c>
      <c r="D280" s="1" t="s">
        <v>813</v>
      </c>
    </row>
    <row r="281" spans="1:4" x14ac:dyDescent="0.2">
      <c r="A281" t="s">
        <v>753</v>
      </c>
      <c r="B281" t="s">
        <v>814</v>
      </c>
      <c r="C281" s="26" t="s">
        <v>815</v>
      </c>
      <c r="D281" s="1" t="s">
        <v>816</v>
      </c>
    </row>
    <row r="282" spans="1:4" x14ac:dyDescent="0.2">
      <c r="A282" t="s">
        <v>753</v>
      </c>
      <c r="B282" t="s">
        <v>817</v>
      </c>
      <c r="C282" s="26" t="s">
        <v>818</v>
      </c>
      <c r="D282" s="1" t="s">
        <v>819</v>
      </c>
    </row>
    <row r="283" spans="1:4" x14ac:dyDescent="0.2">
      <c r="A283" t="s">
        <v>753</v>
      </c>
      <c r="B283" t="s">
        <v>820</v>
      </c>
      <c r="C283" s="26" t="s">
        <v>821</v>
      </c>
      <c r="D283" s="1" t="s">
        <v>822</v>
      </c>
    </row>
    <row r="284" spans="1:4" x14ac:dyDescent="0.2">
      <c r="A284" t="s">
        <v>753</v>
      </c>
      <c r="B284" t="s">
        <v>823</v>
      </c>
      <c r="C284" s="26" t="s">
        <v>824</v>
      </c>
      <c r="D284" s="1" t="s">
        <v>825</v>
      </c>
    </row>
    <row r="285" spans="1:4" x14ac:dyDescent="0.2">
      <c r="A285" t="s">
        <v>753</v>
      </c>
      <c r="B285" t="s">
        <v>826</v>
      </c>
      <c r="C285" s="26" t="s">
        <v>827</v>
      </c>
      <c r="D285" s="1" t="s">
        <v>828</v>
      </c>
    </row>
    <row r="286" spans="1:4" x14ac:dyDescent="0.2">
      <c r="A286" t="s">
        <v>753</v>
      </c>
      <c r="B286" t="s">
        <v>829</v>
      </c>
      <c r="C286" s="26" t="s">
        <v>830</v>
      </c>
      <c r="D286">
        <v>79.002024233129006</v>
      </c>
    </row>
    <row r="287" spans="1:4" x14ac:dyDescent="0.2">
      <c r="A287" t="s">
        <v>753</v>
      </c>
      <c r="B287" t="s">
        <v>831</v>
      </c>
      <c r="C287" s="26" t="s">
        <v>832</v>
      </c>
      <c r="D287" s="1" t="s">
        <v>833</v>
      </c>
    </row>
    <row r="288" spans="1:4" x14ac:dyDescent="0.2">
      <c r="A288" t="s">
        <v>753</v>
      </c>
      <c r="B288" t="s">
        <v>834</v>
      </c>
      <c r="C288" s="26" t="s">
        <v>835</v>
      </c>
      <c r="D288" s="1" t="s">
        <v>836</v>
      </c>
    </row>
    <row r="289" spans="1:4" x14ac:dyDescent="0.2">
      <c r="A289" t="s">
        <v>753</v>
      </c>
      <c r="B289" t="s">
        <v>837</v>
      </c>
      <c r="C289" s="26" t="s">
        <v>838</v>
      </c>
      <c r="D289" s="1" t="s">
        <v>839</v>
      </c>
    </row>
    <row r="290" spans="1:4" x14ac:dyDescent="0.2">
      <c r="A290" t="s">
        <v>753</v>
      </c>
      <c r="B290" t="s">
        <v>840</v>
      </c>
      <c r="C290" s="26" t="s">
        <v>841</v>
      </c>
      <c r="D290" s="1" t="s">
        <v>842</v>
      </c>
    </row>
    <row r="291" spans="1:4" x14ac:dyDescent="0.2">
      <c r="A291" t="s">
        <v>753</v>
      </c>
      <c r="B291" t="s">
        <v>843</v>
      </c>
      <c r="C291" s="26" t="s">
        <v>844</v>
      </c>
      <c r="D291" s="1" t="s">
        <v>845</v>
      </c>
    </row>
    <row r="292" spans="1:4" x14ac:dyDescent="0.2">
      <c r="A292" t="s">
        <v>753</v>
      </c>
      <c r="B292" t="s">
        <v>846</v>
      </c>
      <c r="C292" s="26" t="s">
        <v>847</v>
      </c>
      <c r="D292" s="1" t="s">
        <v>848</v>
      </c>
    </row>
    <row r="293" spans="1:4" x14ac:dyDescent="0.2">
      <c r="A293" t="s">
        <v>753</v>
      </c>
      <c r="B293" t="s">
        <v>849</v>
      </c>
      <c r="C293" s="26" t="s">
        <v>850</v>
      </c>
      <c r="D293" s="1" t="s">
        <v>851</v>
      </c>
    </row>
    <row r="294" spans="1:4" x14ac:dyDescent="0.2">
      <c r="A294" t="s">
        <v>753</v>
      </c>
      <c r="B294" t="s">
        <v>852</v>
      </c>
      <c r="C294" s="26" t="s">
        <v>853</v>
      </c>
      <c r="D294" s="1" t="s">
        <v>854</v>
      </c>
    </row>
    <row r="295" spans="1:4" x14ac:dyDescent="0.2">
      <c r="A295" t="s">
        <v>753</v>
      </c>
      <c r="B295" t="s">
        <v>855</v>
      </c>
      <c r="C295" s="26" t="s">
        <v>856</v>
      </c>
      <c r="D295" s="1" t="s">
        <v>857</v>
      </c>
    </row>
    <row r="296" spans="1:4" x14ac:dyDescent="0.2">
      <c r="A296" t="s">
        <v>753</v>
      </c>
      <c r="B296" t="s">
        <v>858</v>
      </c>
      <c r="C296" s="26" t="s">
        <v>859</v>
      </c>
      <c r="D296" s="1" t="s">
        <v>860</v>
      </c>
    </row>
    <row r="297" spans="1:4" x14ac:dyDescent="0.2">
      <c r="A297" t="s">
        <v>753</v>
      </c>
      <c r="B297" t="s">
        <v>861</v>
      </c>
      <c r="C297" s="26" t="s">
        <v>862</v>
      </c>
      <c r="D297">
        <v>81.459683182844202</v>
      </c>
    </row>
    <row r="298" spans="1:4" x14ac:dyDescent="0.2">
      <c r="A298" t="s">
        <v>753</v>
      </c>
      <c r="B298" t="s">
        <v>863</v>
      </c>
      <c r="C298" s="26" t="s">
        <v>864</v>
      </c>
      <c r="D298" s="1" t="s">
        <v>865</v>
      </c>
    </row>
    <row r="299" spans="1:4" x14ac:dyDescent="0.2">
      <c r="A299" t="s">
        <v>753</v>
      </c>
      <c r="B299" t="s">
        <v>866</v>
      </c>
      <c r="C299" s="26" t="s">
        <v>867</v>
      </c>
      <c r="D299" s="1" t="s">
        <v>868</v>
      </c>
    </row>
    <row r="300" spans="1:4" x14ac:dyDescent="0.2">
      <c r="A300" t="s">
        <v>753</v>
      </c>
      <c r="B300" t="s">
        <v>869</v>
      </c>
      <c r="C300" s="26" t="s">
        <v>870</v>
      </c>
      <c r="D300" s="1" t="s">
        <v>871</v>
      </c>
    </row>
    <row r="301" spans="1:4" x14ac:dyDescent="0.2">
      <c r="A301" t="s">
        <v>753</v>
      </c>
      <c r="B301" t="s">
        <v>872</v>
      </c>
      <c r="C301" s="26" t="s">
        <v>873</v>
      </c>
      <c r="D301">
        <v>82.105378335949794</v>
      </c>
    </row>
    <row r="302" spans="1:4" x14ac:dyDescent="0.2">
      <c r="A302" t="s">
        <v>753</v>
      </c>
      <c r="B302" t="s">
        <v>874</v>
      </c>
      <c r="C302" s="26" t="s">
        <v>875</v>
      </c>
      <c r="D302" s="1" t="s">
        <v>876</v>
      </c>
    </row>
    <row r="303" spans="1:4" x14ac:dyDescent="0.2">
      <c r="A303" t="s">
        <v>753</v>
      </c>
      <c r="B303" t="s">
        <v>877</v>
      </c>
      <c r="C303" s="26" t="s">
        <v>878</v>
      </c>
      <c r="D303" s="1" t="s">
        <v>879</v>
      </c>
    </row>
    <row r="304" spans="1:4" x14ac:dyDescent="0.2">
      <c r="A304" t="s">
        <v>753</v>
      </c>
      <c r="B304" t="s">
        <v>880</v>
      </c>
      <c r="C304" s="26" t="s">
        <v>881</v>
      </c>
      <c r="D304" s="1" t="s">
        <v>882</v>
      </c>
    </row>
    <row r="305" spans="1:4" x14ac:dyDescent="0.2">
      <c r="A305" t="s">
        <v>753</v>
      </c>
      <c r="B305" t="s">
        <v>883</v>
      </c>
      <c r="C305" s="26" t="s">
        <v>884</v>
      </c>
      <c r="D305">
        <v>77.901350760456296</v>
      </c>
    </row>
    <row r="306" spans="1:4" x14ac:dyDescent="0.2">
      <c r="A306" t="s">
        <v>753</v>
      </c>
      <c r="B306" t="s">
        <v>885</v>
      </c>
      <c r="C306" s="26" t="s">
        <v>886</v>
      </c>
      <c r="D306" s="1" t="s">
        <v>887</v>
      </c>
    </row>
    <row r="307" spans="1:4" x14ac:dyDescent="0.2">
      <c r="A307" t="s">
        <v>888</v>
      </c>
      <c r="B307" t="s">
        <v>889</v>
      </c>
      <c r="C307" s="26" t="s">
        <v>890</v>
      </c>
      <c r="D307" s="1" t="s">
        <v>891</v>
      </c>
    </row>
    <row r="308" spans="1:4" x14ac:dyDescent="0.2">
      <c r="A308" t="s">
        <v>888</v>
      </c>
      <c r="B308" t="s">
        <v>892</v>
      </c>
      <c r="C308" s="26" t="s">
        <v>893</v>
      </c>
      <c r="D308" s="1" t="s">
        <v>894</v>
      </c>
    </row>
    <row r="309" spans="1:4" x14ac:dyDescent="0.2">
      <c r="A309" t="s">
        <v>888</v>
      </c>
      <c r="B309" t="s">
        <v>895</v>
      </c>
      <c r="C309" s="26" t="s">
        <v>896</v>
      </c>
      <c r="D309" s="1" t="s">
        <v>897</v>
      </c>
    </row>
    <row r="310" spans="1:4" x14ac:dyDescent="0.2">
      <c r="A310" t="s">
        <v>888</v>
      </c>
      <c r="B310" t="s">
        <v>193</v>
      </c>
      <c r="C310" s="26" t="s">
        <v>898</v>
      </c>
      <c r="D310" s="1" t="s">
        <v>899</v>
      </c>
    </row>
    <row r="311" spans="1:4" x14ac:dyDescent="0.2">
      <c r="A311" t="s">
        <v>888</v>
      </c>
      <c r="B311" t="s">
        <v>900</v>
      </c>
      <c r="C311" s="26" t="s">
        <v>901</v>
      </c>
      <c r="D311" s="1" t="s">
        <v>902</v>
      </c>
    </row>
    <row r="312" spans="1:4" x14ac:dyDescent="0.2">
      <c r="A312" t="s">
        <v>888</v>
      </c>
      <c r="B312" t="s">
        <v>903</v>
      </c>
      <c r="C312" s="26" t="s">
        <v>904</v>
      </c>
      <c r="D312" s="1" t="s">
        <v>905</v>
      </c>
    </row>
    <row r="313" spans="1:4" x14ac:dyDescent="0.2">
      <c r="A313" t="s">
        <v>888</v>
      </c>
      <c r="B313" t="s">
        <v>906</v>
      </c>
      <c r="C313" s="26" t="s">
        <v>907</v>
      </c>
      <c r="D313" s="1" t="s">
        <v>908</v>
      </c>
    </row>
    <row r="314" spans="1:4" x14ac:dyDescent="0.2">
      <c r="A314" t="s">
        <v>888</v>
      </c>
      <c r="B314" t="s">
        <v>909</v>
      </c>
      <c r="C314" s="26" t="s">
        <v>910</v>
      </c>
      <c r="D314" s="1" t="s">
        <v>911</v>
      </c>
    </row>
    <row r="315" spans="1:4" x14ac:dyDescent="0.2">
      <c r="A315" t="s">
        <v>888</v>
      </c>
      <c r="B315" t="s">
        <v>912</v>
      </c>
      <c r="C315" s="26" t="s">
        <v>913</v>
      </c>
      <c r="D315" s="1" t="s">
        <v>914</v>
      </c>
    </row>
    <row r="316" spans="1:4" x14ac:dyDescent="0.2">
      <c r="A316" t="s">
        <v>888</v>
      </c>
      <c r="B316" t="s">
        <v>915</v>
      </c>
      <c r="C316" s="26" t="s">
        <v>916</v>
      </c>
      <c r="D316" s="1" t="s">
        <v>917</v>
      </c>
    </row>
    <row r="317" spans="1:4" x14ac:dyDescent="0.2">
      <c r="A317" t="s">
        <v>888</v>
      </c>
      <c r="B317" t="s">
        <v>918</v>
      </c>
      <c r="C317" s="26" t="s">
        <v>919</v>
      </c>
      <c r="D317" s="1" t="s">
        <v>920</v>
      </c>
    </row>
    <row r="318" spans="1:4" x14ac:dyDescent="0.2">
      <c r="A318" t="s">
        <v>888</v>
      </c>
      <c r="B318" t="s">
        <v>921</v>
      </c>
      <c r="C318" s="26" t="s">
        <v>922</v>
      </c>
      <c r="D318" s="1" t="s">
        <v>923</v>
      </c>
    </row>
    <row r="319" spans="1:4" x14ac:dyDescent="0.2">
      <c r="A319" t="s">
        <v>888</v>
      </c>
      <c r="B319" t="s">
        <v>924</v>
      </c>
      <c r="C319" s="26" t="s">
        <v>925</v>
      </c>
      <c r="D319" s="1" t="s">
        <v>926</v>
      </c>
    </row>
    <row r="320" spans="1:4" x14ac:dyDescent="0.2">
      <c r="A320" t="s">
        <v>888</v>
      </c>
      <c r="B320" t="s">
        <v>927</v>
      </c>
      <c r="C320" s="27">
        <v>20.882894341563802</v>
      </c>
      <c r="D320" s="1" t="s">
        <v>928</v>
      </c>
    </row>
    <row r="321" spans="1:4" x14ac:dyDescent="0.2">
      <c r="A321" t="s">
        <v>888</v>
      </c>
      <c r="B321" t="s">
        <v>929</v>
      </c>
      <c r="C321" s="26" t="s">
        <v>930</v>
      </c>
      <c r="D321" s="1" t="s">
        <v>931</v>
      </c>
    </row>
    <row r="322" spans="1:4" x14ac:dyDescent="0.2">
      <c r="A322" t="s">
        <v>888</v>
      </c>
      <c r="B322" t="s">
        <v>932</v>
      </c>
      <c r="C322" s="26" t="s">
        <v>933</v>
      </c>
      <c r="D322" s="1" t="s">
        <v>934</v>
      </c>
    </row>
    <row r="323" spans="1:4" x14ac:dyDescent="0.2">
      <c r="A323" t="s">
        <v>888</v>
      </c>
      <c r="B323" t="s">
        <v>935</v>
      </c>
      <c r="C323" s="26" t="s">
        <v>936</v>
      </c>
      <c r="D323" s="1" t="s">
        <v>937</v>
      </c>
    </row>
    <row r="324" spans="1:4" x14ac:dyDescent="0.2">
      <c r="A324" t="s">
        <v>888</v>
      </c>
      <c r="B324" t="s">
        <v>938</v>
      </c>
      <c r="C324" s="26" t="s">
        <v>939</v>
      </c>
      <c r="D324" s="1" t="s">
        <v>940</v>
      </c>
    </row>
    <row r="325" spans="1:4" x14ac:dyDescent="0.2">
      <c r="A325" t="s">
        <v>888</v>
      </c>
      <c r="B325" t="s">
        <v>941</v>
      </c>
      <c r="C325" s="27">
        <v>19.209316983017001</v>
      </c>
      <c r="D325">
        <v>77.682904895104897</v>
      </c>
    </row>
    <row r="326" spans="1:4" x14ac:dyDescent="0.2">
      <c r="A326" t="s">
        <v>888</v>
      </c>
      <c r="B326" t="s">
        <v>942</v>
      </c>
      <c r="C326" s="26" t="s">
        <v>943</v>
      </c>
      <c r="D326" s="1" t="s">
        <v>944</v>
      </c>
    </row>
    <row r="327" spans="1:4" x14ac:dyDescent="0.2">
      <c r="A327" t="s">
        <v>888</v>
      </c>
      <c r="B327" t="s">
        <v>945</v>
      </c>
      <c r="C327" s="26" t="s">
        <v>946</v>
      </c>
      <c r="D327" s="1" t="s">
        <v>947</v>
      </c>
    </row>
    <row r="328" spans="1:4" x14ac:dyDescent="0.2">
      <c r="A328" t="s">
        <v>888</v>
      </c>
      <c r="B328" t="s">
        <v>948</v>
      </c>
      <c r="C328" s="26" t="s">
        <v>949</v>
      </c>
      <c r="D328" s="1" t="s">
        <v>950</v>
      </c>
    </row>
    <row r="329" spans="1:4" x14ac:dyDescent="0.2">
      <c r="A329" t="s">
        <v>888</v>
      </c>
      <c r="B329" t="s">
        <v>951</v>
      </c>
      <c r="C329" s="26" t="s">
        <v>952</v>
      </c>
      <c r="D329" s="1" t="s">
        <v>953</v>
      </c>
    </row>
    <row r="330" spans="1:4" x14ac:dyDescent="0.2">
      <c r="A330" t="s">
        <v>888</v>
      </c>
      <c r="B330" t="s">
        <v>954</v>
      </c>
      <c r="C330" s="26" t="s">
        <v>955</v>
      </c>
      <c r="D330" s="1" t="s">
        <v>956</v>
      </c>
    </row>
    <row r="331" spans="1:4" x14ac:dyDescent="0.2">
      <c r="A331" t="s">
        <v>888</v>
      </c>
      <c r="B331" t="s">
        <v>330</v>
      </c>
      <c r="C331" s="26" t="s">
        <v>957</v>
      </c>
      <c r="D331">
        <v>73.009060941857896</v>
      </c>
    </row>
    <row r="332" spans="1:4" x14ac:dyDescent="0.2">
      <c r="A332" t="s">
        <v>888</v>
      </c>
      <c r="B332" t="s">
        <v>958</v>
      </c>
      <c r="C332" s="26" t="s">
        <v>959</v>
      </c>
      <c r="D332" s="1" t="s">
        <v>960</v>
      </c>
    </row>
    <row r="333" spans="1:4" x14ac:dyDescent="0.2">
      <c r="A333" t="s">
        <v>888</v>
      </c>
      <c r="B333" t="s">
        <v>961</v>
      </c>
      <c r="C333" s="26" t="s">
        <v>962</v>
      </c>
      <c r="D333" s="1" t="s">
        <v>963</v>
      </c>
    </row>
    <row r="334" spans="1:4" x14ac:dyDescent="0.2">
      <c r="A334" t="s">
        <v>888</v>
      </c>
      <c r="B334" t="s">
        <v>964</v>
      </c>
      <c r="C334" s="27">
        <v>17.6737908974359</v>
      </c>
      <c r="D334" s="1" t="s">
        <v>965</v>
      </c>
    </row>
    <row r="335" spans="1:4" x14ac:dyDescent="0.2">
      <c r="A335" t="s">
        <v>888</v>
      </c>
      <c r="B335" t="s">
        <v>966</v>
      </c>
      <c r="C335" s="26" t="s">
        <v>967</v>
      </c>
      <c r="D335" s="1" t="s">
        <v>968</v>
      </c>
    </row>
    <row r="336" spans="1:4" x14ac:dyDescent="0.2">
      <c r="A336" t="s">
        <v>888</v>
      </c>
      <c r="B336" t="s">
        <v>969</v>
      </c>
      <c r="C336" s="26" t="s">
        <v>970</v>
      </c>
      <c r="D336" s="1" t="s">
        <v>971</v>
      </c>
    </row>
    <row r="337" spans="1:4" x14ac:dyDescent="0.2">
      <c r="A337" t="s">
        <v>888</v>
      </c>
      <c r="B337" t="s">
        <v>972</v>
      </c>
      <c r="C337" s="26" t="s">
        <v>973</v>
      </c>
      <c r="D337" s="1" t="s">
        <v>974</v>
      </c>
    </row>
    <row r="338" spans="1:4" x14ac:dyDescent="0.2">
      <c r="A338" t="s">
        <v>888</v>
      </c>
      <c r="B338" t="s">
        <v>975</v>
      </c>
      <c r="C338" s="26" t="s">
        <v>976</v>
      </c>
      <c r="D338" s="1" t="s">
        <v>977</v>
      </c>
    </row>
    <row r="339" spans="1:4" x14ac:dyDescent="0.2">
      <c r="A339" t="s">
        <v>888</v>
      </c>
      <c r="B339" t="s">
        <v>978</v>
      </c>
      <c r="C339" s="26" t="s">
        <v>979</v>
      </c>
      <c r="D339" s="1" t="s">
        <v>980</v>
      </c>
    </row>
    <row r="340" spans="1:4" x14ac:dyDescent="0.2">
      <c r="A340" t="s">
        <v>888</v>
      </c>
      <c r="B340" t="s">
        <v>981</v>
      </c>
      <c r="C340" s="26" t="s">
        <v>982</v>
      </c>
      <c r="D340" s="1" t="s">
        <v>983</v>
      </c>
    </row>
    <row r="341" spans="1:4" x14ac:dyDescent="0.2">
      <c r="A341" t="s">
        <v>984</v>
      </c>
      <c r="B341" t="s">
        <v>985</v>
      </c>
      <c r="C341" s="26" t="s">
        <v>986</v>
      </c>
      <c r="D341">
        <v>93.824623602484493</v>
      </c>
    </row>
    <row r="342" spans="1:4" x14ac:dyDescent="0.2">
      <c r="A342" t="s">
        <v>984</v>
      </c>
      <c r="B342" t="s">
        <v>987</v>
      </c>
      <c r="C342" s="27">
        <v>24.2635812987013</v>
      </c>
      <c r="D342" s="1" t="s">
        <v>988</v>
      </c>
    </row>
    <row r="343" spans="1:4" x14ac:dyDescent="0.2">
      <c r="A343" t="s">
        <v>984</v>
      </c>
      <c r="B343" t="s">
        <v>989</v>
      </c>
      <c r="C343" s="26" t="s">
        <v>990</v>
      </c>
      <c r="D343" s="1" t="s">
        <v>991</v>
      </c>
    </row>
    <row r="344" spans="1:4" x14ac:dyDescent="0.2">
      <c r="A344" t="s">
        <v>984</v>
      </c>
      <c r="B344" t="s">
        <v>992</v>
      </c>
      <c r="C344" s="26" t="s">
        <v>993</v>
      </c>
      <c r="D344" s="1" t="s">
        <v>994</v>
      </c>
    </row>
    <row r="345" spans="1:4" x14ac:dyDescent="0.2">
      <c r="A345" t="s">
        <v>984</v>
      </c>
      <c r="B345" t="s">
        <v>995</v>
      </c>
      <c r="C345" s="26" t="s">
        <v>996</v>
      </c>
      <c r="D345" s="1" t="s">
        <v>997</v>
      </c>
    </row>
    <row r="346" spans="1:4" x14ac:dyDescent="0.2">
      <c r="A346" t="s">
        <v>984</v>
      </c>
      <c r="B346" t="s">
        <v>998</v>
      </c>
      <c r="C346" s="26" t="s">
        <v>999</v>
      </c>
      <c r="D346" s="1" t="s">
        <v>1000</v>
      </c>
    </row>
    <row r="347" spans="1:4" x14ac:dyDescent="0.2">
      <c r="A347" t="s">
        <v>984</v>
      </c>
      <c r="B347" t="s">
        <v>1001</v>
      </c>
      <c r="C347" s="26" t="s">
        <v>1002</v>
      </c>
      <c r="D347" s="1" t="s">
        <v>1003</v>
      </c>
    </row>
    <row r="348" spans="1:4" x14ac:dyDescent="0.2">
      <c r="A348" t="s">
        <v>984</v>
      </c>
      <c r="B348" t="s">
        <v>1004</v>
      </c>
      <c r="C348" s="26" t="s">
        <v>1005</v>
      </c>
      <c r="D348" s="1" t="s">
        <v>1006</v>
      </c>
    </row>
    <row r="349" spans="1:4" x14ac:dyDescent="0.2">
      <c r="A349" t="s">
        <v>984</v>
      </c>
      <c r="B349" t="s">
        <v>1007</v>
      </c>
      <c r="C349" s="26" t="s">
        <v>1008</v>
      </c>
      <c r="D349" s="1" t="s">
        <v>1009</v>
      </c>
    </row>
    <row r="350" spans="1:4" x14ac:dyDescent="0.2">
      <c r="A350" t="s">
        <v>1010</v>
      </c>
      <c r="B350" t="s">
        <v>1011</v>
      </c>
      <c r="C350" s="26" t="s">
        <v>1012</v>
      </c>
      <c r="D350" s="1" t="s">
        <v>1013</v>
      </c>
    </row>
    <row r="351" spans="1:4" x14ac:dyDescent="0.2">
      <c r="A351" t="s">
        <v>1010</v>
      </c>
      <c r="B351" t="s">
        <v>1014</v>
      </c>
      <c r="C351" s="26" t="s">
        <v>1015</v>
      </c>
      <c r="D351" s="1" t="s">
        <v>1016</v>
      </c>
    </row>
    <row r="352" spans="1:4" x14ac:dyDescent="0.2">
      <c r="A352" t="s">
        <v>1010</v>
      </c>
      <c r="B352" t="s">
        <v>1017</v>
      </c>
      <c r="C352" s="26" t="s">
        <v>1018</v>
      </c>
      <c r="D352" s="1" t="s">
        <v>1019</v>
      </c>
    </row>
    <row r="353" spans="1:4" x14ac:dyDescent="0.2">
      <c r="A353" t="s">
        <v>1010</v>
      </c>
      <c r="B353" t="s">
        <v>1020</v>
      </c>
      <c r="C353" s="26" t="s">
        <v>1021</v>
      </c>
      <c r="D353">
        <v>91.845161589403901</v>
      </c>
    </row>
    <row r="354" spans="1:4" x14ac:dyDescent="0.2">
      <c r="A354" t="s">
        <v>1010</v>
      </c>
      <c r="B354" t="s">
        <v>1022</v>
      </c>
      <c r="C354" s="26" t="s">
        <v>1023</v>
      </c>
      <c r="D354" s="1" t="s">
        <v>1024</v>
      </c>
    </row>
    <row r="355" spans="1:4" x14ac:dyDescent="0.2">
      <c r="A355" t="s">
        <v>1010</v>
      </c>
      <c r="B355" t="s">
        <v>1025</v>
      </c>
      <c r="C355" s="26" t="s">
        <v>1026</v>
      </c>
      <c r="D355" s="1" t="s">
        <v>1027</v>
      </c>
    </row>
    <row r="356" spans="1:4" x14ac:dyDescent="0.2">
      <c r="A356" t="s">
        <v>1010</v>
      </c>
      <c r="B356" t="s">
        <v>1028</v>
      </c>
      <c r="C356" s="26" t="s">
        <v>1029</v>
      </c>
      <c r="D356" s="1" t="s">
        <v>1030</v>
      </c>
    </row>
    <row r="357" spans="1:4" x14ac:dyDescent="0.2">
      <c r="A357" t="s">
        <v>1031</v>
      </c>
      <c r="B357" t="s">
        <v>1032</v>
      </c>
      <c r="C357" s="26" t="s">
        <v>1033</v>
      </c>
      <c r="D357" s="1" t="s">
        <v>1034</v>
      </c>
    </row>
    <row r="358" spans="1:4" x14ac:dyDescent="0.2">
      <c r="A358" t="s">
        <v>1031</v>
      </c>
      <c r="B358" t="s">
        <v>1035</v>
      </c>
      <c r="C358" s="26" t="s">
        <v>1036</v>
      </c>
      <c r="D358" s="1" t="s">
        <v>1037</v>
      </c>
    </row>
    <row r="359" spans="1:4" x14ac:dyDescent="0.2">
      <c r="A359" t="s">
        <v>1031</v>
      </c>
      <c r="B359" t="s">
        <v>1038</v>
      </c>
      <c r="C359" s="26" t="s">
        <v>1039</v>
      </c>
      <c r="D359" s="1" t="s">
        <v>1040</v>
      </c>
    </row>
    <row r="360" spans="1:4" x14ac:dyDescent="0.2">
      <c r="A360" t="s">
        <v>1031</v>
      </c>
      <c r="B360" t="s">
        <v>1041</v>
      </c>
      <c r="C360" s="26" t="s">
        <v>1042</v>
      </c>
      <c r="D360" s="1" t="s">
        <v>1043</v>
      </c>
    </row>
    <row r="361" spans="1:4" x14ac:dyDescent="0.2">
      <c r="A361" t="s">
        <v>1031</v>
      </c>
      <c r="B361" t="s">
        <v>1044</v>
      </c>
      <c r="C361" s="26" t="s">
        <v>1045</v>
      </c>
      <c r="D361" s="1" t="s">
        <v>1046</v>
      </c>
    </row>
    <row r="362" spans="1:4" x14ac:dyDescent="0.2">
      <c r="A362" t="s">
        <v>1031</v>
      </c>
      <c r="B362" t="s">
        <v>1047</v>
      </c>
      <c r="C362" s="26" t="s">
        <v>1048</v>
      </c>
      <c r="D362">
        <v>92.433080383314703</v>
      </c>
    </row>
    <row r="363" spans="1:4" x14ac:dyDescent="0.2">
      <c r="A363" t="s">
        <v>1031</v>
      </c>
      <c r="B363" t="s">
        <v>1049</v>
      </c>
      <c r="C363" s="26" t="s">
        <v>1050</v>
      </c>
      <c r="D363" s="1" t="s">
        <v>1051</v>
      </c>
    </row>
    <row r="364" spans="1:4" x14ac:dyDescent="0.2">
      <c r="A364" t="s">
        <v>1031</v>
      </c>
      <c r="B364" t="s">
        <v>1052</v>
      </c>
      <c r="C364" s="26" t="s">
        <v>1053</v>
      </c>
      <c r="D364" s="1" t="s">
        <v>1054</v>
      </c>
    </row>
    <row r="365" spans="1:4" x14ac:dyDescent="0.2">
      <c r="A365" t="s">
        <v>1055</v>
      </c>
      <c r="B365" t="s">
        <v>1056</v>
      </c>
      <c r="C365" s="26" t="s">
        <v>1057</v>
      </c>
      <c r="D365" s="1" t="s">
        <v>1058</v>
      </c>
    </row>
    <row r="366" spans="1:4" x14ac:dyDescent="0.2">
      <c r="A366" t="s">
        <v>1055</v>
      </c>
      <c r="B366" t="s">
        <v>1059</v>
      </c>
      <c r="C366" s="26" t="s">
        <v>1060</v>
      </c>
      <c r="D366" s="1" t="s">
        <v>1061</v>
      </c>
    </row>
    <row r="367" spans="1:4" x14ac:dyDescent="0.2">
      <c r="A367" t="s">
        <v>1055</v>
      </c>
      <c r="B367" t="s">
        <v>1062</v>
      </c>
      <c r="C367" s="26" t="s">
        <v>1063</v>
      </c>
      <c r="D367">
        <v>94.522426006192006</v>
      </c>
    </row>
    <row r="368" spans="1:4" x14ac:dyDescent="0.2">
      <c r="A368" t="s">
        <v>1055</v>
      </c>
      <c r="B368" t="s">
        <v>1064</v>
      </c>
      <c r="C368" s="26" t="s">
        <v>1065</v>
      </c>
      <c r="D368" s="1" t="s">
        <v>1066</v>
      </c>
    </row>
    <row r="369" spans="1:4" x14ac:dyDescent="0.2">
      <c r="A369" t="s">
        <v>1055</v>
      </c>
      <c r="B369" t="s">
        <v>1067</v>
      </c>
      <c r="C369" s="26" t="s">
        <v>1068</v>
      </c>
      <c r="D369" s="1" t="s">
        <v>1069</v>
      </c>
    </row>
    <row r="370" spans="1:4" x14ac:dyDescent="0.2">
      <c r="A370" t="s">
        <v>1055</v>
      </c>
      <c r="B370" t="s">
        <v>1070</v>
      </c>
      <c r="C370" s="26" t="s">
        <v>1071</v>
      </c>
      <c r="D370" s="1" t="s">
        <v>1072</v>
      </c>
    </row>
    <row r="371" spans="1:4" x14ac:dyDescent="0.2">
      <c r="A371" t="s">
        <v>1055</v>
      </c>
      <c r="B371" t="s">
        <v>1073</v>
      </c>
      <c r="C371" s="26" t="s">
        <v>1074</v>
      </c>
      <c r="D371" s="1" t="s">
        <v>1075</v>
      </c>
    </row>
    <row r="372" spans="1:4" x14ac:dyDescent="0.2">
      <c r="A372" t="s">
        <v>1055</v>
      </c>
      <c r="B372" t="s">
        <v>1076</v>
      </c>
      <c r="C372" s="26" t="s">
        <v>1077</v>
      </c>
      <c r="D372" s="1" t="s">
        <v>1078</v>
      </c>
    </row>
    <row r="373" spans="1:4" x14ac:dyDescent="0.2">
      <c r="A373" t="s">
        <v>1079</v>
      </c>
      <c r="B373" t="s">
        <v>1080</v>
      </c>
      <c r="C373" s="26" t="s">
        <v>1081</v>
      </c>
      <c r="D373" s="1" t="s">
        <v>1082</v>
      </c>
    </row>
    <row r="374" spans="1:4" x14ac:dyDescent="0.2">
      <c r="A374" t="s">
        <v>1079</v>
      </c>
      <c r="B374" t="s">
        <v>1083</v>
      </c>
      <c r="C374" s="26" t="s">
        <v>1084</v>
      </c>
      <c r="D374" s="1" t="s">
        <v>1085</v>
      </c>
    </row>
    <row r="375" spans="1:4" x14ac:dyDescent="0.2">
      <c r="A375" t="s">
        <v>1079</v>
      </c>
      <c r="B375" t="s">
        <v>1086</v>
      </c>
      <c r="C375" s="26" t="s">
        <v>1087</v>
      </c>
      <c r="D375" s="1" t="s">
        <v>1088</v>
      </c>
    </row>
    <row r="376" spans="1:4" x14ac:dyDescent="0.2">
      <c r="A376" t="s">
        <v>1079</v>
      </c>
      <c r="B376" t="s">
        <v>1089</v>
      </c>
      <c r="C376" s="26" t="s">
        <v>1090</v>
      </c>
      <c r="D376" s="1" t="s">
        <v>1091</v>
      </c>
    </row>
    <row r="377" spans="1:4" x14ac:dyDescent="0.2">
      <c r="A377" t="s">
        <v>1079</v>
      </c>
      <c r="B377" t="s">
        <v>1092</v>
      </c>
      <c r="C377" s="26" t="s">
        <v>1093</v>
      </c>
      <c r="D377" s="1" t="s">
        <v>1094</v>
      </c>
    </row>
    <row r="378" spans="1:4" x14ac:dyDescent="0.2">
      <c r="A378" t="s">
        <v>1079</v>
      </c>
      <c r="B378" t="s">
        <v>1095</v>
      </c>
      <c r="C378" s="26" t="s">
        <v>1096</v>
      </c>
      <c r="D378" s="1" t="s">
        <v>1097</v>
      </c>
    </row>
    <row r="379" spans="1:4" x14ac:dyDescent="0.2">
      <c r="A379" t="s">
        <v>1079</v>
      </c>
      <c r="B379" t="s">
        <v>1098</v>
      </c>
      <c r="C379" s="26" t="s">
        <v>1099</v>
      </c>
      <c r="D379">
        <v>85.777681022880202</v>
      </c>
    </row>
    <row r="380" spans="1:4" x14ac:dyDescent="0.2">
      <c r="A380" t="s">
        <v>1079</v>
      </c>
      <c r="B380" t="s">
        <v>1100</v>
      </c>
      <c r="C380" s="26" t="s">
        <v>1101</v>
      </c>
      <c r="D380" s="1" t="s">
        <v>1102</v>
      </c>
    </row>
    <row r="381" spans="1:4" x14ac:dyDescent="0.2">
      <c r="A381" t="s">
        <v>1079</v>
      </c>
      <c r="B381" t="s">
        <v>1103</v>
      </c>
      <c r="C381" s="26" t="s">
        <v>1104</v>
      </c>
      <c r="D381" s="1" t="s">
        <v>1105</v>
      </c>
    </row>
    <row r="382" spans="1:4" x14ac:dyDescent="0.2">
      <c r="A382" t="s">
        <v>1079</v>
      </c>
      <c r="B382" t="s">
        <v>1106</v>
      </c>
      <c r="C382" s="26" t="s">
        <v>1107</v>
      </c>
      <c r="D382" s="1" t="s">
        <v>1108</v>
      </c>
    </row>
    <row r="383" spans="1:4" x14ac:dyDescent="0.2">
      <c r="A383" t="s">
        <v>1079</v>
      </c>
      <c r="B383" t="s">
        <v>1109</v>
      </c>
      <c r="C383" s="26" t="s">
        <v>1110</v>
      </c>
      <c r="D383" s="1" t="s">
        <v>1111</v>
      </c>
    </row>
    <row r="384" spans="1:4" x14ac:dyDescent="0.2">
      <c r="A384" t="s">
        <v>1079</v>
      </c>
      <c r="B384" t="s">
        <v>1112</v>
      </c>
      <c r="C384" s="26" t="s">
        <v>1113</v>
      </c>
      <c r="D384" s="1" t="s">
        <v>1114</v>
      </c>
    </row>
    <row r="385" spans="1:4" x14ac:dyDescent="0.2">
      <c r="A385" t="s">
        <v>1079</v>
      </c>
      <c r="B385" t="s">
        <v>1115</v>
      </c>
      <c r="C385" s="26" t="s">
        <v>1116</v>
      </c>
      <c r="D385" s="1" t="s">
        <v>1117</v>
      </c>
    </row>
    <row r="386" spans="1:4" x14ac:dyDescent="0.2">
      <c r="A386" t="s">
        <v>1079</v>
      </c>
      <c r="B386" t="s">
        <v>1118</v>
      </c>
      <c r="C386" s="26" t="s">
        <v>1119</v>
      </c>
      <c r="D386" s="1" t="s">
        <v>1120</v>
      </c>
    </row>
    <row r="387" spans="1:4" x14ac:dyDescent="0.2">
      <c r="A387" t="s">
        <v>1079</v>
      </c>
      <c r="B387" t="s">
        <v>1121</v>
      </c>
      <c r="C387" s="26" t="s">
        <v>1122</v>
      </c>
      <c r="D387">
        <v>83.112404381443298</v>
      </c>
    </row>
    <row r="388" spans="1:4" x14ac:dyDescent="0.2">
      <c r="A388" t="s">
        <v>1079</v>
      </c>
      <c r="B388" t="s">
        <v>1123</v>
      </c>
      <c r="C388" s="26" t="s">
        <v>1124</v>
      </c>
      <c r="D388" s="1" t="s">
        <v>1125</v>
      </c>
    </row>
    <row r="389" spans="1:4" x14ac:dyDescent="0.2">
      <c r="A389" t="s">
        <v>1079</v>
      </c>
      <c r="B389" t="s">
        <v>1126</v>
      </c>
      <c r="C389" s="26" t="s">
        <v>1127</v>
      </c>
      <c r="D389" s="1" t="s">
        <v>1128</v>
      </c>
    </row>
    <row r="390" spans="1:4" x14ac:dyDescent="0.2">
      <c r="A390" t="s">
        <v>1079</v>
      </c>
      <c r="B390" t="s">
        <v>1129</v>
      </c>
      <c r="C390" s="26" t="s">
        <v>1130</v>
      </c>
      <c r="D390" s="1" t="s">
        <v>1131</v>
      </c>
    </row>
    <row r="391" spans="1:4" x14ac:dyDescent="0.2">
      <c r="A391" t="s">
        <v>1079</v>
      </c>
      <c r="B391" t="s">
        <v>1132</v>
      </c>
      <c r="C391" s="26" t="s">
        <v>1133</v>
      </c>
      <c r="D391" s="1" t="s">
        <v>1134</v>
      </c>
    </row>
    <row r="392" spans="1:4" x14ac:dyDescent="0.2">
      <c r="A392" t="s">
        <v>1079</v>
      </c>
      <c r="B392" t="s">
        <v>1135</v>
      </c>
      <c r="C392" s="26" t="s">
        <v>1136</v>
      </c>
      <c r="D392" s="1" t="s">
        <v>1137</v>
      </c>
    </row>
    <row r="393" spans="1:4" x14ac:dyDescent="0.2">
      <c r="A393" t="s">
        <v>1079</v>
      </c>
      <c r="B393" t="s">
        <v>1138</v>
      </c>
      <c r="C393" s="26" t="s">
        <v>1139</v>
      </c>
      <c r="D393" s="1" t="s">
        <v>1140</v>
      </c>
    </row>
    <row r="394" spans="1:4" x14ac:dyDescent="0.2">
      <c r="A394" t="s">
        <v>1079</v>
      </c>
      <c r="B394" t="s">
        <v>1141</v>
      </c>
      <c r="C394" s="26" t="s">
        <v>1142</v>
      </c>
      <c r="D394">
        <v>86.4030408052231</v>
      </c>
    </row>
    <row r="395" spans="1:4" x14ac:dyDescent="0.2">
      <c r="A395" t="s">
        <v>1079</v>
      </c>
      <c r="B395" t="s">
        <v>1143</v>
      </c>
      <c r="C395" s="26" t="s">
        <v>1144</v>
      </c>
      <c r="D395" s="1" t="s">
        <v>1145</v>
      </c>
    </row>
    <row r="396" spans="1:4" x14ac:dyDescent="0.2">
      <c r="A396" t="s">
        <v>1079</v>
      </c>
      <c r="B396" t="s">
        <v>1146</v>
      </c>
      <c r="C396" s="26" t="s">
        <v>1147</v>
      </c>
      <c r="D396" s="1" t="s">
        <v>1148</v>
      </c>
    </row>
    <row r="397" spans="1:4" x14ac:dyDescent="0.2">
      <c r="A397" t="s">
        <v>1079</v>
      </c>
      <c r="B397" t="s">
        <v>1149</v>
      </c>
      <c r="C397" s="26" t="s">
        <v>1150</v>
      </c>
      <c r="D397" s="1" t="s">
        <v>1151</v>
      </c>
    </row>
    <row r="398" spans="1:4" x14ac:dyDescent="0.2">
      <c r="A398" t="s">
        <v>1079</v>
      </c>
      <c r="B398" t="s">
        <v>1152</v>
      </c>
      <c r="C398" s="26" t="s">
        <v>1153</v>
      </c>
      <c r="D398" s="1" t="s">
        <v>1154</v>
      </c>
    </row>
    <row r="399" spans="1:4" x14ac:dyDescent="0.2">
      <c r="A399" t="s">
        <v>1079</v>
      </c>
      <c r="B399" t="s">
        <v>1155</v>
      </c>
      <c r="C399" s="26" t="s">
        <v>1156</v>
      </c>
      <c r="D399" s="1" t="s">
        <v>1157</v>
      </c>
    </row>
    <row r="400" spans="1:4" x14ac:dyDescent="0.2">
      <c r="A400" t="s">
        <v>1079</v>
      </c>
      <c r="B400" t="s">
        <v>1158</v>
      </c>
      <c r="C400" s="26" t="s">
        <v>1159</v>
      </c>
      <c r="D400" s="1" t="s">
        <v>1160</v>
      </c>
    </row>
    <row r="401" spans="1:4" x14ac:dyDescent="0.2">
      <c r="A401" t="s">
        <v>1079</v>
      </c>
      <c r="B401" t="s">
        <v>1161</v>
      </c>
      <c r="C401" s="26" t="s">
        <v>1162</v>
      </c>
      <c r="D401" s="1" t="s">
        <v>1163</v>
      </c>
    </row>
    <row r="402" spans="1:4" x14ac:dyDescent="0.2">
      <c r="A402" t="s">
        <v>1079</v>
      </c>
      <c r="B402" t="s">
        <v>1164</v>
      </c>
      <c r="C402" s="26" t="s">
        <v>1165</v>
      </c>
      <c r="D402" s="1" t="s">
        <v>1166</v>
      </c>
    </row>
    <row r="403" spans="1:4" x14ac:dyDescent="0.2">
      <c r="A403" t="s">
        <v>1167</v>
      </c>
      <c r="B403" t="s">
        <v>1168</v>
      </c>
      <c r="C403" s="26" t="s">
        <v>1169</v>
      </c>
      <c r="D403" s="1" t="s">
        <v>1170</v>
      </c>
    </row>
    <row r="404" spans="1:4" x14ac:dyDescent="0.2">
      <c r="A404" t="s">
        <v>1167</v>
      </c>
      <c r="B404" t="s">
        <v>1171</v>
      </c>
      <c r="C404" s="26" t="s">
        <v>1172</v>
      </c>
      <c r="D404" s="1" t="s">
        <v>1173</v>
      </c>
    </row>
    <row r="405" spans="1:4" x14ac:dyDescent="0.2">
      <c r="A405" t="s">
        <v>1167</v>
      </c>
      <c r="B405" t="s">
        <v>1167</v>
      </c>
      <c r="C405" s="26" t="s">
        <v>1174</v>
      </c>
      <c r="D405">
        <v>79.797109613375198</v>
      </c>
    </row>
    <row r="406" spans="1:4" x14ac:dyDescent="0.2">
      <c r="A406" t="s">
        <v>1167</v>
      </c>
      <c r="B406" t="s">
        <v>1175</v>
      </c>
      <c r="C406" s="26" t="s">
        <v>1176</v>
      </c>
      <c r="D406" s="1" t="s">
        <v>1177</v>
      </c>
    </row>
    <row r="407" spans="1:4" x14ac:dyDescent="0.2">
      <c r="A407" t="s">
        <v>1178</v>
      </c>
      <c r="B407" t="s">
        <v>1179</v>
      </c>
      <c r="C407" s="26" t="s">
        <v>1180</v>
      </c>
      <c r="D407" s="1" t="s">
        <v>1181</v>
      </c>
    </row>
    <row r="408" spans="1:4" x14ac:dyDescent="0.2">
      <c r="A408" t="s">
        <v>1178</v>
      </c>
      <c r="B408" t="s">
        <v>1182</v>
      </c>
      <c r="C408" s="26" t="s">
        <v>1183</v>
      </c>
      <c r="D408" s="1" t="s">
        <v>1184</v>
      </c>
    </row>
    <row r="409" spans="1:4" x14ac:dyDescent="0.2">
      <c r="A409" t="s">
        <v>1178</v>
      </c>
      <c r="B409" t="s">
        <v>1185</v>
      </c>
      <c r="C409" s="26" t="s">
        <v>1186</v>
      </c>
      <c r="D409" s="1" t="s">
        <v>1187</v>
      </c>
    </row>
    <row r="410" spans="1:4" x14ac:dyDescent="0.2">
      <c r="A410" t="s">
        <v>1178</v>
      </c>
      <c r="B410" t="s">
        <v>1188</v>
      </c>
      <c r="C410" s="26" t="s">
        <v>1189</v>
      </c>
      <c r="D410" s="1" t="s">
        <v>1190</v>
      </c>
    </row>
    <row r="411" spans="1:4" x14ac:dyDescent="0.2">
      <c r="A411" t="s">
        <v>1178</v>
      </c>
      <c r="B411" t="s">
        <v>1191</v>
      </c>
      <c r="C411" s="26" t="s">
        <v>1192</v>
      </c>
      <c r="D411" s="1" t="s">
        <v>1193</v>
      </c>
    </row>
    <row r="412" spans="1:4" x14ac:dyDescent="0.2">
      <c r="A412" t="s">
        <v>1178</v>
      </c>
      <c r="B412" t="s">
        <v>1194</v>
      </c>
      <c r="C412" s="26" t="s">
        <v>1195</v>
      </c>
      <c r="D412">
        <v>75.320406439393906</v>
      </c>
    </row>
    <row r="413" spans="1:4" x14ac:dyDescent="0.2">
      <c r="A413" t="s">
        <v>1178</v>
      </c>
      <c r="B413" t="s">
        <v>1196</v>
      </c>
      <c r="C413" s="26" t="s">
        <v>1197</v>
      </c>
      <c r="D413">
        <v>75.8469857442349</v>
      </c>
    </row>
    <row r="414" spans="1:4" x14ac:dyDescent="0.2">
      <c r="A414" t="s">
        <v>1178</v>
      </c>
      <c r="B414" t="s">
        <v>1198</v>
      </c>
      <c r="C414" s="26" t="s">
        <v>1199</v>
      </c>
      <c r="D414" s="1" t="s">
        <v>1200</v>
      </c>
    </row>
    <row r="415" spans="1:4" x14ac:dyDescent="0.2">
      <c r="A415" t="s">
        <v>1178</v>
      </c>
      <c r="B415" t="s">
        <v>1201</v>
      </c>
      <c r="C415" s="26" t="s">
        <v>1202</v>
      </c>
      <c r="D415" s="1" t="s">
        <v>1203</v>
      </c>
    </row>
    <row r="416" spans="1:4" x14ac:dyDescent="0.2">
      <c r="A416" t="s">
        <v>1178</v>
      </c>
      <c r="B416" t="s">
        <v>1204</v>
      </c>
      <c r="C416" s="26" t="s">
        <v>1205</v>
      </c>
      <c r="D416" s="1" t="s">
        <v>1206</v>
      </c>
    </row>
    <row r="417" spans="1:4" x14ac:dyDescent="0.2">
      <c r="A417" t="s">
        <v>1178</v>
      </c>
      <c r="B417" t="s">
        <v>1207</v>
      </c>
      <c r="C417" s="26" t="s">
        <v>1208</v>
      </c>
      <c r="D417">
        <v>75.430492285714294</v>
      </c>
    </row>
    <row r="418" spans="1:4" x14ac:dyDescent="0.2">
      <c r="A418" t="s">
        <v>1178</v>
      </c>
      <c r="B418" t="s">
        <v>1209</v>
      </c>
      <c r="C418" s="26" t="s">
        <v>1210</v>
      </c>
      <c r="D418">
        <v>75.160084511784504</v>
      </c>
    </row>
    <row r="419" spans="1:4" x14ac:dyDescent="0.2">
      <c r="A419" t="s">
        <v>1178</v>
      </c>
      <c r="B419" t="s">
        <v>1211</v>
      </c>
      <c r="C419" s="26" t="s">
        <v>1212</v>
      </c>
      <c r="D419">
        <v>74.551874774774802</v>
      </c>
    </row>
    <row r="420" spans="1:4" x14ac:dyDescent="0.2">
      <c r="A420" t="s">
        <v>1178</v>
      </c>
      <c r="B420" t="s">
        <v>1213</v>
      </c>
      <c r="C420" s="26" t="s">
        <v>1214</v>
      </c>
      <c r="D420">
        <v>76.1019243636364</v>
      </c>
    </row>
    <row r="421" spans="1:4" x14ac:dyDescent="0.2">
      <c r="A421" t="s">
        <v>1178</v>
      </c>
      <c r="B421" t="s">
        <v>1215</v>
      </c>
      <c r="C421" s="26" t="s">
        <v>1216</v>
      </c>
      <c r="D421" s="1" t="s">
        <v>1217</v>
      </c>
    </row>
    <row r="422" spans="1:4" x14ac:dyDescent="0.2">
      <c r="A422" t="s">
        <v>1178</v>
      </c>
      <c r="B422" t="s">
        <v>1218</v>
      </c>
      <c r="C422" s="26" t="s">
        <v>1219</v>
      </c>
      <c r="D422" s="1" t="s">
        <v>1220</v>
      </c>
    </row>
    <row r="423" spans="1:4" x14ac:dyDescent="0.2">
      <c r="A423" t="s">
        <v>1178</v>
      </c>
      <c r="B423" t="s">
        <v>1221</v>
      </c>
      <c r="C423" s="26" t="s">
        <v>1222</v>
      </c>
      <c r="D423" s="1" t="s">
        <v>1223</v>
      </c>
    </row>
    <row r="424" spans="1:4" x14ac:dyDescent="0.2">
      <c r="A424" t="s">
        <v>1224</v>
      </c>
      <c r="B424" t="s">
        <v>1225</v>
      </c>
      <c r="C424" s="26" t="s">
        <v>1226</v>
      </c>
      <c r="D424">
        <v>74.699041919191899</v>
      </c>
    </row>
    <row r="425" spans="1:4" x14ac:dyDescent="0.2">
      <c r="A425" t="s">
        <v>1224</v>
      </c>
      <c r="B425" t="s">
        <v>1227</v>
      </c>
      <c r="C425" s="26" t="s">
        <v>1228</v>
      </c>
      <c r="D425" s="1" t="s">
        <v>1229</v>
      </c>
    </row>
    <row r="426" spans="1:4" x14ac:dyDescent="0.2">
      <c r="A426" t="s">
        <v>1224</v>
      </c>
      <c r="B426" t="s">
        <v>1230</v>
      </c>
      <c r="C426" s="26" t="s">
        <v>1231</v>
      </c>
      <c r="D426" s="1" t="s">
        <v>1232</v>
      </c>
    </row>
    <row r="427" spans="1:4" x14ac:dyDescent="0.2">
      <c r="A427" t="s">
        <v>1224</v>
      </c>
      <c r="B427" t="s">
        <v>1233</v>
      </c>
      <c r="C427" s="26" t="s">
        <v>1234</v>
      </c>
      <c r="D427" s="1" t="s">
        <v>1235</v>
      </c>
    </row>
    <row r="428" spans="1:4" x14ac:dyDescent="0.2">
      <c r="A428" t="s">
        <v>1224</v>
      </c>
      <c r="B428" t="s">
        <v>1236</v>
      </c>
      <c r="C428" s="26" t="s">
        <v>1237</v>
      </c>
      <c r="D428" s="1" t="s">
        <v>1238</v>
      </c>
    </row>
    <row r="429" spans="1:4" x14ac:dyDescent="0.2">
      <c r="A429" t="s">
        <v>1224</v>
      </c>
      <c r="B429" t="s">
        <v>1239</v>
      </c>
      <c r="C429" s="26" t="s">
        <v>1240</v>
      </c>
      <c r="D429" s="1" t="s">
        <v>1241</v>
      </c>
    </row>
    <row r="430" spans="1:4" x14ac:dyDescent="0.2">
      <c r="A430" t="s">
        <v>1224</v>
      </c>
      <c r="B430" t="s">
        <v>1242</v>
      </c>
      <c r="C430" s="26" t="s">
        <v>1243</v>
      </c>
      <c r="D430" s="1" t="s">
        <v>1244</v>
      </c>
    </row>
    <row r="431" spans="1:4" x14ac:dyDescent="0.2">
      <c r="A431" t="s">
        <v>1224</v>
      </c>
      <c r="B431" t="s">
        <v>1245</v>
      </c>
      <c r="C431" s="26" t="s">
        <v>1246</v>
      </c>
      <c r="D431" s="1" t="s">
        <v>1247</v>
      </c>
    </row>
    <row r="432" spans="1:4" x14ac:dyDescent="0.2">
      <c r="A432" t="s">
        <v>1224</v>
      </c>
      <c r="B432" t="s">
        <v>1248</v>
      </c>
      <c r="C432" s="26" t="s">
        <v>1249</v>
      </c>
      <c r="D432" s="1" t="s">
        <v>1250</v>
      </c>
    </row>
    <row r="433" spans="1:4" x14ac:dyDescent="0.2">
      <c r="A433" t="s">
        <v>1224</v>
      </c>
      <c r="B433" t="s">
        <v>1251</v>
      </c>
      <c r="C433" s="26" t="s">
        <v>1252</v>
      </c>
      <c r="D433" s="1" t="s">
        <v>1253</v>
      </c>
    </row>
    <row r="434" spans="1:4" x14ac:dyDescent="0.2">
      <c r="A434" t="s">
        <v>1224</v>
      </c>
      <c r="B434" t="s">
        <v>1254</v>
      </c>
      <c r="C434" s="26" t="s">
        <v>1255</v>
      </c>
      <c r="D434" s="1" t="s">
        <v>1256</v>
      </c>
    </row>
    <row r="435" spans="1:4" x14ac:dyDescent="0.2">
      <c r="A435" t="s">
        <v>1224</v>
      </c>
      <c r="B435" t="s">
        <v>1257</v>
      </c>
      <c r="C435" s="26" t="s">
        <v>1258</v>
      </c>
      <c r="D435" s="1" t="s">
        <v>1259</v>
      </c>
    </row>
    <row r="436" spans="1:4" x14ac:dyDescent="0.2">
      <c r="A436" t="s">
        <v>1224</v>
      </c>
      <c r="B436" t="s">
        <v>1260</v>
      </c>
      <c r="C436" s="26" t="s">
        <v>1261</v>
      </c>
      <c r="D436" s="1" t="s">
        <v>1262</v>
      </c>
    </row>
    <row r="437" spans="1:4" x14ac:dyDescent="0.2">
      <c r="A437" t="s">
        <v>1224</v>
      </c>
      <c r="B437" t="s">
        <v>1263</v>
      </c>
      <c r="C437" s="26" t="s">
        <v>1264</v>
      </c>
      <c r="D437" s="1" t="s">
        <v>1265</v>
      </c>
    </row>
    <row r="438" spans="1:4" x14ac:dyDescent="0.2">
      <c r="A438" t="s">
        <v>1224</v>
      </c>
      <c r="B438" t="s">
        <v>1266</v>
      </c>
      <c r="C438" s="26" t="s">
        <v>1267</v>
      </c>
      <c r="D438" s="1" t="s">
        <v>1268</v>
      </c>
    </row>
    <row r="439" spans="1:4" x14ac:dyDescent="0.2">
      <c r="A439" t="s">
        <v>1224</v>
      </c>
      <c r="B439" t="s">
        <v>1269</v>
      </c>
      <c r="C439" s="27">
        <v>29.181335179153098</v>
      </c>
      <c r="D439" s="1" t="s">
        <v>1270</v>
      </c>
    </row>
    <row r="440" spans="1:4" x14ac:dyDescent="0.2">
      <c r="A440" t="s">
        <v>1224</v>
      </c>
      <c r="B440" t="s">
        <v>1271</v>
      </c>
      <c r="C440" s="26" t="s">
        <v>1272</v>
      </c>
      <c r="D440" s="1" t="s">
        <v>1273</v>
      </c>
    </row>
    <row r="441" spans="1:4" x14ac:dyDescent="0.2">
      <c r="A441" t="s">
        <v>1224</v>
      </c>
      <c r="B441" t="s">
        <v>1274</v>
      </c>
      <c r="C441" s="26" t="s">
        <v>1275</v>
      </c>
      <c r="D441" s="1" t="s">
        <v>1276</v>
      </c>
    </row>
    <row r="442" spans="1:4" x14ac:dyDescent="0.2">
      <c r="A442" t="s">
        <v>1224</v>
      </c>
      <c r="B442" t="s">
        <v>1277</v>
      </c>
      <c r="C442" s="26" t="s">
        <v>1278</v>
      </c>
      <c r="D442" s="1" t="s">
        <v>1279</v>
      </c>
    </row>
    <row r="443" spans="1:4" x14ac:dyDescent="0.2">
      <c r="A443" t="s">
        <v>1224</v>
      </c>
      <c r="B443" t="s">
        <v>1280</v>
      </c>
      <c r="C443" s="26" t="s">
        <v>1281</v>
      </c>
      <c r="D443" s="1" t="s">
        <v>1282</v>
      </c>
    </row>
    <row r="444" spans="1:4" x14ac:dyDescent="0.2">
      <c r="A444" t="s">
        <v>1224</v>
      </c>
      <c r="B444" t="s">
        <v>1283</v>
      </c>
      <c r="C444" s="26" t="s">
        <v>1284</v>
      </c>
      <c r="D444" s="1" t="s">
        <v>1285</v>
      </c>
    </row>
    <row r="445" spans="1:4" x14ac:dyDescent="0.2">
      <c r="A445" t="s">
        <v>1224</v>
      </c>
      <c r="B445" t="s">
        <v>1286</v>
      </c>
      <c r="C445" s="26" t="s">
        <v>1287</v>
      </c>
      <c r="D445" s="1" t="s">
        <v>1288</v>
      </c>
    </row>
    <row r="446" spans="1:4" x14ac:dyDescent="0.2">
      <c r="A446" t="s">
        <v>1224</v>
      </c>
      <c r="B446" t="s">
        <v>1289</v>
      </c>
      <c r="C446" s="26" t="s">
        <v>1290</v>
      </c>
      <c r="D446" s="1" t="s">
        <v>1291</v>
      </c>
    </row>
    <row r="447" spans="1:4" x14ac:dyDescent="0.2">
      <c r="A447" t="s">
        <v>1224</v>
      </c>
      <c r="B447" t="s">
        <v>1292</v>
      </c>
      <c r="C447" s="26" t="s">
        <v>1293</v>
      </c>
      <c r="D447" s="1" t="s">
        <v>1294</v>
      </c>
    </row>
    <row r="448" spans="1:4" x14ac:dyDescent="0.2">
      <c r="A448" t="s">
        <v>1224</v>
      </c>
      <c r="B448" t="s">
        <v>1295</v>
      </c>
      <c r="C448" s="26" t="s">
        <v>1296</v>
      </c>
      <c r="D448" s="1" t="s">
        <v>1297</v>
      </c>
    </row>
    <row r="449" spans="1:4" x14ac:dyDescent="0.2">
      <c r="A449" t="s">
        <v>1224</v>
      </c>
      <c r="B449" t="s">
        <v>1298</v>
      </c>
      <c r="C449" s="26" t="s">
        <v>1299</v>
      </c>
      <c r="D449" s="1" t="s">
        <v>1300</v>
      </c>
    </row>
    <row r="450" spans="1:4" x14ac:dyDescent="0.2">
      <c r="A450" t="s">
        <v>1224</v>
      </c>
      <c r="B450" t="s">
        <v>1301</v>
      </c>
      <c r="C450" s="26" t="s">
        <v>1302</v>
      </c>
      <c r="D450" s="1" t="s">
        <v>1303</v>
      </c>
    </row>
    <row r="451" spans="1:4" x14ac:dyDescent="0.2">
      <c r="A451" t="s">
        <v>1224</v>
      </c>
      <c r="B451" t="s">
        <v>1304</v>
      </c>
      <c r="C451" s="26" t="s">
        <v>1305</v>
      </c>
      <c r="D451">
        <v>76.4219283891548</v>
      </c>
    </row>
    <row r="452" spans="1:4" x14ac:dyDescent="0.2">
      <c r="A452" t="s">
        <v>1224</v>
      </c>
      <c r="B452" t="s">
        <v>1306</v>
      </c>
      <c r="C452" s="26" t="s">
        <v>1307</v>
      </c>
      <c r="D452" s="1" t="s">
        <v>1308</v>
      </c>
    </row>
    <row r="453" spans="1:4" x14ac:dyDescent="0.2">
      <c r="A453" t="s">
        <v>1224</v>
      </c>
      <c r="B453" t="s">
        <v>1309</v>
      </c>
      <c r="C453" s="27">
        <v>24.797690526315801</v>
      </c>
      <c r="D453" s="1" t="s">
        <v>1310</v>
      </c>
    </row>
    <row r="454" spans="1:4" x14ac:dyDescent="0.2">
      <c r="A454" t="s">
        <v>1224</v>
      </c>
      <c r="B454" t="s">
        <v>1311</v>
      </c>
      <c r="C454" s="26" t="s">
        <v>1312</v>
      </c>
      <c r="D454" s="1" t="s">
        <v>1313</v>
      </c>
    </row>
    <row r="455" spans="1:4" x14ac:dyDescent="0.2">
      <c r="A455" t="s">
        <v>1224</v>
      </c>
      <c r="B455" t="s">
        <v>1314</v>
      </c>
      <c r="C455" s="26" t="s">
        <v>1315</v>
      </c>
      <c r="D455" s="1" t="s">
        <v>1316</v>
      </c>
    </row>
    <row r="456" spans="1:4" x14ac:dyDescent="0.2">
      <c r="A456" t="s">
        <v>1317</v>
      </c>
      <c r="B456" t="s">
        <v>1318</v>
      </c>
      <c r="C456" s="26" t="s">
        <v>1319</v>
      </c>
      <c r="D456" s="1" t="s">
        <v>1320</v>
      </c>
    </row>
    <row r="457" spans="1:4" x14ac:dyDescent="0.2">
      <c r="A457" t="s">
        <v>1317</v>
      </c>
      <c r="B457" t="s">
        <v>1321</v>
      </c>
      <c r="C457" s="26" t="s">
        <v>1322</v>
      </c>
      <c r="D457" s="1" t="s">
        <v>1323</v>
      </c>
    </row>
    <row r="458" spans="1:4" x14ac:dyDescent="0.2">
      <c r="A458" t="s">
        <v>1317</v>
      </c>
      <c r="B458" t="s">
        <v>1324</v>
      </c>
      <c r="C458" s="26" t="s">
        <v>1325</v>
      </c>
      <c r="D458" s="1" t="s">
        <v>1326</v>
      </c>
    </row>
    <row r="459" spans="1:4" x14ac:dyDescent="0.2">
      <c r="A459" t="s">
        <v>1317</v>
      </c>
      <c r="B459" t="s">
        <v>1327</v>
      </c>
      <c r="C459" s="27">
        <v>27.3359816</v>
      </c>
      <c r="D459" s="1" t="s">
        <v>1328</v>
      </c>
    </row>
    <row r="460" spans="1:4" x14ac:dyDescent="0.2">
      <c r="A460" t="s">
        <v>1329</v>
      </c>
      <c r="B460" t="s">
        <v>1330</v>
      </c>
      <c r="C460" s="26" t="s">
        <v>1331</v>
      </c>
      <c r="D460" s="1" t="s">
        <v>1332</v>
      </c>
    </row>
    <row r="461" spans="1:4" x14ac:dyDescent="0.2">
      <c r="A461" t="s">
        <v>1329</v>
      </c>
      <c r="B461" t="s">
        <v>1333</v>
      </c>
      <c r="C461" s="26" t="s">
        <v>1334</v>
      </c>
      <c r="D461" s="1" t="s">
        <v>1335</v>
      </c>
    </row>
    <row r="462" spans="1:4" x14ac:dyDescent="0.2">
      <c r="A462" t="s">
        <v>1329</v>
      </c>
      <c r="B462" t="s">
        <v>1336</v>
      </c>
      <c r="C462" s="26" t="s">
        <v>1337</v>
      </c>
      <c r="D462" s="1" t="s">
        <v>1338</v>
      </c>
    </row>
    <row r="463" spans="1:4" x14ac:dyDescent="0.2">
      <c r="A463" t="s">
        <v>1329</v>
      </c>
      <c r="B463" t="s">
        <v>1339</v>
      </c>
      <c r="C463" s="26" t="s">
        <v>1340</v>
      </c>
      <c r="D463" s="1" t="s">
        <v>1341</v>
      </c>
    </row>
    <row r="464" spans="1:4" x14ac:dyDescent="0.2">
      <c r="A464" t="s">
        <v>1329</v>
      </c>
      <c r="B464" t="s">
        <v>1342</v>
      </c>
      <c r="C464" s="26" t="s">
        <v>1343</v>
      </c>
      <c r="D464" s="1" t="s">
        <v>1344</v>
      </c>
    </row>
    <row r="465" spans="1:4" x14ac:dyDescent="0.2">
      <c r="A465" t="s">
        <v>1329</v>
      </c>
      <c r="B465" t="s">
        <v>1345</v>
      </c>
      <c r="C465" s="26" t="s">
        <v>1346</v>
      </c>
      <c r="D465" s="1" t="s">
        <v>1347</v>
      </c>
    </row>
    <row r="466" spans="1:4" x14ac:dyDescent="0.2">
      <c r="A466" t="s">
        <v>1329</v>
      </c>
      <c r="B466" t="s">
        <v>1348</v>
      </c>
      <c r="C466" s="26" t="s">
        <v>1349</v>
      </c>
      <c r="D466" s="1" t="s">
        <v>1350</v>
      </c>
    </row>
    <row r="467" spans="1:4" x14ac:dyDescent="0.2">
      <c r="A467" t="s">
        <v>1329</v>
      </c>
      <c r="B467" t="s">
        <v>1351</v>
      </c>
      <c r="C467" s="26" t="s">
        <v>1352</v>
      </c>
      <c r="D467" s="1" t="s">
        <v>1353</v>
      </c>
    </row>
    <row r="468" spans="1:4" x14ac:dyDescent="0.2">
      <c r="A468" t="s">
        <v>1329</v>
      </c>
      <c r="B468" t="s">
        <v>1354</v>
      </c>
      <c r="C468" s="26" t="s">
        <v>1355</v>
      </c>
      <c r="D468" s="1" t="s">
        <v>1356</v>
      </c>
    </row>
    <row r="469" spans="1:4" x14ac:dyDescent="0.2">
      <c r="A469" t="s">
        <v>1329</v>
      </c>
      <c r="B469" t="s">
        <v>1357</v>
      </c>
      <c r="C469" s="26" t="s">
        <v>1358</v>
      </c>
      <c r="D469" s="1" t="s">
        <v>1359</v>
      </c>
    </row>
    <row r="470" spans="1:4" x14ac:dyDescent="0.2">
      <c r="A470" t="s">
        <v>1329</v>
      </c>
      <c r="B470" t="s">
        <v>1360</v>
      </c>
      <c r="C470" s="26" t="s">
        <v>1361</v>
      </c>
      <c r="D470" s="1" t="s">
        <v>1362</v>
      </c>
    </row>
    <row r="471" spans="1:4" x14ac:dyDescent="0.2">
      <c r="A471" t="s">
        <v>1329</v>
      </c>
      <c r="B471" t="s">
        <v>1363</v>
      </c>
      <c r="C471" s="26" t="s">
        <v>1364</v>
      </c>
      <c r="D471" s="1" t="s">
        <v>1365</v>
      </c>
    </row>
    <row r="472" spans="1:4" x14ac:dyDescent="0.2">
      <c r="A472" t="s">
        <v>1329</v>
      </c>
      <c r="B472" t="s">
        <v>1366</v>
      </c>
      <c r="C472" s="26" t="s">
        <v>1367</v>
      </c>
      <c r="D472" s="1" t="s">
        <v>1368</v>
      </c>
    </row>
    <row r="473" spans="1:4" x14ac:dyDescent="0.2">
      <c r="A473" t="s">
        <v>1329</v>
      </c>
      <c r="B473" t="s">
        <v>1369</v>
      </c>
      <c r="C473" s="26" t="s">
        <v>1370</v>
      </c>
      <c r="D473">
        <v>76.661464217252401</v>
      </c>
    </row>
    <row r="474" spans="1:4" x14ac:dyDescent="0.2">
      <c r="A474" t="s">
        <v>1329</v>
      </c>
      <c r="B474" t="s">
        <v>1371</v>
      </c>
      <c r="C474" s="26" t="s">
        <v>1372</v>
      </c>
      <c r="D474" s="1" t="s">
        <v>1373</v>
      </c>
    </row>
    <row r="475" spans="1:4" x14ac:dyDescent="0.2">
      <c r="A475" t="s">
        <v>1329</v>
      </c>
      <c r="B475" t="s">
        <v>1374</v>
      </c>
      <c r="C475" s="26" t="s">
        <v>1375</v>
      </c>
      <c r="D475" s="1" t="s">
        <v>1376</v>
      </c>
    </row>
    <row r="476" spans="1:4" x14ac:dyDescent="0.2">
      <c r="A476" t="s">
        <v>1329</v>
      </c>
      <c r="B476" t="s">
        <v>1377</v>
      </c>
      <c r="C476" s="26" t="s">
        <v>1378</v>
      </c>
      <c r="D476" s="1" t="s">
        <v>1379</v>
      </c>
    </row>
    <row r="477" spans="1:4" x14ac:dyDescent="0.2">
      <c r="A477" t="s">
        <v>1329</v>
      </c>
      <c r="B477" t="s">
        <v>1380</v>
      </c>
      <c r="C477" s="26" t="s">
        <v>1381</v>
      </c>
      <c r="D477">
        <v>78.247825797872295</v>
      </c>
    </row>
    <row r="478" spans="1:4" x14ac:dyDescent="0.2">
      <c r="A478" t="s">
        <v>1329</v>
      </c>
      <c r="B478" t="s">
        <v>1382</v>
      </c>
      <c r="C478" s="26" t="s">
        <v>1383</v>
      </c>
      <c r="D478" s="1" t="s">
        <v>1384</v>
      </c>
    </row>
    <row r="479" spans="1:4" x14ac:dyDescent="0.2">
      <c r="A479" t="s">
        <v>1329</v>
      </c>
      <c r="B479" t="s">
        <v>1385</v>
      </c>
      <c r="C479" s="26" t="s">
        <v>1386</v>
      </c>
      <c r="D479">
        <v>79.319486910774501</v>
      </c>
    </row>
    <row r="480" spans="1:4" x14ac:dyDescent="0.2">
      <c r="A480" t="s">
        <v>1329</v>
      </c>
      <c r="B480" t="s">
        <v>1387</v>
      </c>
      <c r="C480" s="26" t="s">
        <v>1388</v>
      </c>
      <c r="D480" s="1" t="s">
        <v>1389</v>
      </c>
    </row>
    <row r="481" spans="1:4" x14ac:dyDescent="0.2">
      <c r="A481" t="s">
        <v>1329</v>
      </c>
      <c r="B481" t="s">
        <v>1390</v>
      </c>
      <c r="C481" s="26" t="s">
        <v>1391</v>
      </c>
      <c r="D481" s="1" t="s">
        <v>1392</v>
      </c>
    </row>
    <row r="482" spans="1:4" x14ac:dyDescent="0.2">
      <c r="A482" t="s">
        <v>1329</v>
      </c>
      <c r="B482" t="s">
        <v>1393</v>
      </c>
      <c r="C482" s="26" t="s">
        <v>1394</v>
      </c>
      <c r="D482" s="1" t="s">
        <v>1395</v>
      </c>
    </row>
    <row r="483" spans="1:4" x14ac:dyDescent="0.2">
      <c r="A483" t="s">
        <v>1329</v>
      </c>
      <c r="B483" t="s">
        <v>1396</v>
      </c>
      <c r="C483" s="26" t="s">
        <v>1397</v>
      </c>
      <c r="D483" s="1" t="s">
        <v>1398</v>
      </c>
    </row>
    <row r="484" spans="1:4" x14ac:dyDescent="0.2">
      <c r="A484" t="s">
        <v>1329</v>
      </c>
      <c r="B484" t="s">
        <v>1399</v>
      </c>
      <c r="C484" s="26" t="s">
        <v>1400</v>
      </c>
      <c r="D484" s="1" t="s">
        <v>1401</v>
      </c>
    </row>
    <row r="485" spans="1:4" x14ac:dyDescent="0.2">
      <c r="A485" t="s">
        <v>1329</v>
      </c>
      <c r="B485" t="s">
        <v>1402</v>
      </c>
      <c r="C485" s="27">
        <v>8.4574307038261605</v>
      </c>
      <c r="D485" s="1" t="s">
        <v>1403</v>
      </c>
    </row>
    <row r="486" spans="1:4" x14ac:dyDescent="0.2">
      <c r="A486" t="s">
        <v>1329</v>
      </c>
      <c r="B486" t="s">
        <v>1404</v>
      </c>
      <c r="C486" s="26" t="s">
        <v>1405</v>
      </c>
      <c r="D486" s="1" t="s">
        <v>1406</v>
      </c>
    </row>
    <row r="487" spans="1:4" x14ac:dyDescent="0.2">
      <c r="A487" t="s">
        <v>1329</v>
      </c>
      <c r="B487" t="s">
        <v>1407</v>
      </c>
      <c r="C487" s="26" t="s">
        <v>1408</v>
      </c>
      <c r="D487" s="1" t="s">
        <v>1409</v>
      </c>
    </row>
    <row r="488" spans="1:4" x14ac:dyDescent="0.2">
      <c r="A488" t="s">
        <v>1329</v>
      </c>
      <c r="B488" t="s">
        <v>1410</v>
      </c>
      <c r="C488" s="26" t="s">
        <v>1411</v>
      </c>
      <c r="D488">
        <v>79.689891009399204</v>
      </c>
    </row>
    <row r="489" spans="1:4" x14ac:dyDescent="0.2">
      <c r="A489" t="s">
        <v>1329</v>
      </c>
      <c r="B489" t="s">
        <v>1412</v>
      </c>
      <c r="C489" s="26" t="s">
        <v>1413</v>
      </c>
      <c r="D489" s="1" t="s">
        <v>1414</v>
      </c>
    </row>
    <row r="490" spans="1:4" x14ac:dyDescent="0.2">
      <c r="A490" t="s">
        <v>1415</v>
      </c>
      <c r="B490" t="s">
        <v>1416</v>
      </c>
      <c r="C490" s="26" t="s">
        <v>1417</v>
      </c>
      <c r="D490" s="1" t="s">
        <v>1418</v>
      </c>
    </row>
    <row r="491" spans="1:4" x14ac:dyDescent="0.2">
      <c r="A491" t="s">
        <v>1415</v>
      </c>
      <c r="B491" t="s">
        <v>1419</v>
      </c>
      <c r="C491" s="26" t="s">
        <v>1420</v>
      </c>
      <c r="D491" s="1" t="s">
        <v>1421</v>
      </c>
    </row>
    <row r="492" spans="1:4" x14ac:dyDescent="0.2">
      <c r="A492" t="s">
        <v>1415</v>
      </c>
      <c r="B492" t="s">
        <v>1422</v>
      </c>
      <c r="C492" s="26" t="s">
        <v>1423</v>
      </c>
      <c r="D492">
        <v>91.606580758556802</v>
      </c>
    </row>
    <row r="493" spans="1:4" x14ac:dyDescent="0.2">
      <c r="A493" t="s">
        <v>1415</v>
      </c>
      <c r="B493" t="s">
        <v>1424</v>
      </c>
      <c r="C493" s="26" t="s">
        <v>1425</v>
      </c>
      <c r="D493" s="1" t="s">
        <v>1426</v>
      </c>
    </row>
    <row r="494" spans="1:4" x14ac:dyDescent="0.2">
      <c r="A494" t="s">
        <v>1427</v>
      </c>
      <c r="B494" t="s">
        <v>1428</v>
      </c>
      <c r="C494" s="26" t="s">
        <v>1429</v>
      </c>
      <c r="D494" s="1" t="s">
        <v>1430</v>
      </c>
    </row>
    <row r="495" spans="1:4" x14ac:dyDescent="0.2">
      <c r="A495" t="s">
        <v>1427</v>
      </c>
      <c r="B495" t="s">
        <v>1431</v>
      </c>
      <c r="C495" s="26" t="s">
        <v>1432</v>
      </c>
      <c r="D495" s="1" t="s">
        <v>1433</v>
      </c>
    </row>
    <row r="496" spans="1:4" x14ac:dyDescent="0.2">
      <c r="A496" t="s">
        <v>1427</v>
      </c>
      <c r="B496" t="s">
        <v>1434</v>
      </c>
      <c r="C496" s="26" t="s">
        <v>1435</v>
      </c>
      <c r="D496" s="1" t="s">
        <v>1436</v>
      </c>
    </row>
    <row r="497" spans="1:4" x14ac:dyDescent="0.2">
      <c r="A497" t="s">
        <v>1427</v>
      </c>
      <c r="B497" t="s">
        <v>1437</v>
      </c>
      <c r="C497" s="26" t="s">
        <v>1438</v>
      </c>
      <c r="D497" s="1" t="s">
        <v>1439</v>
      </c>
    </row>
    <row r="498" spans="1:4" x14ac:dyDescent="0.2">
      <c r="A498" t="s">
        <v>1427</v>
      </c>
      <c r="B498" t="s">
        <v>1440</v>
      </c>
      <c r="C498" s="26" t="s">
        <v>1441</v>
      </c>
      <c r="D498" s="1" t="s">
        <v>1442</v>
      </c>
    </row>
    <row r="499" spans="1:4" x14ac:dyDescent="0.2">
      <c r="A499" t="s">
        <v>1427</v>
      </c>
      <c r="B499" t="s">
        <v>1443</v>
      </c>
      <c r="C499" s="26" t="s">
        <v>1444</v>
      </c>
      <c r="D499" s="1" t="s">
        <v>1445</v>
      </c>
    </row>
    <row r="500" spans="1:4" x14ac:dyDescent="0.2">
      <c r="A500" t="s">
        <v>1427</v>
      </c>
      <c r="B500" t="s">
        <v>1446</v>
      </c>
      <c r="C500" s="26" t="s">
        <v>1447</v>
      </c>
      <c r="D500" s="1" t="s">
        <v>1448</v>
      </c>
    </row>
    <row r="501" spans="1:4" x14ac:dyDescent="0.2">
      <c r="A501" t="s">
        <v>1427</v>
      </c>
      <c r="B501" t="s">
        <v>1449</v>
      </c>
      <c r="C501" s="26" t="s">
        <v>1450</v>
      </c>
      <c r="D501" s="1" t="s">
        <v>1451</v>
      </c>
    </row>
    <row r="502" spans="1:4" x14ac:dyDescent="0.2">
      <c r="A502" t="s">
        <v>1427</v>
      </c>
      <c r="B502" t="s">
        <v>1452</v>
      </c>
      <c r="C502" s="26" t="s">
        <v>1453</v>
      </c>
      <c r="D502" s="1" t="s">
        <v>1454</v>
      </c>
    </row>
    <row r="503" spans="1:4" x14ac:dyDescent="0.2">
      <c r="A503" t="s">
        <v>1427</v>
      </c>
      <c r="B503" t="s">
        <v>1455</v>
      </c>
      <c r="C503" s="26" t="s">
        <v>1456</v>
      </c>
      <c r="D503" s="1" t="s">
        <v>1457</v>
      </c>
    </row>
    <row r="504" spans="1:4" x14ac:dyDescent="0.2">
      <c r="A504" t="s">
        <v>1427</v>
      </c>
      <c r="B504" t="s">
        <v>1458</v>
      </c>
      <c r="C504" s="26" t="s">
        <v>1459</v>
      </c>
      <c r="D504" s="1" t="s">
        <v>1460</v>
      </c>
    </row>
    <row r="505" spans="1:4" x14ac:dyDescent="0.2">
      <c r="A505" t="s">
        <v>1427</v>
      </c>
      <c r="B505" t="s">
        <v>1461</v>
      </c>
      <c r="C505" s="26" t="s">
        <v>1462</v>
      </c>
      <c r="D505" s="1" t="s">
        <v>1463</v>
      </c>
    </row>
    <row r="506" spans="1:4" x14ac:dyDescent="0.2">
      <c r="A506" t="s">
        <v>1427</v>
      </c>
      <c r="B506" t="s">
        <v>1464</v>
      </c>
      <c r="C506" s="26" t="s">
        <v>1465</v>
      </c>
      <c r="D506" s="1" t="s">
        <v>1466</v>
      </c>
    </row>
    <row r="507" spans="1:4" x14ac:dyDescent="0.2">
      <c r="A507" t="s">
        <v>1427</v>
      </c>
      <c r="B507" t="s">
        <v>1467</v>
      </c>
      <c r="C507" s="26" t="s">
        <v>1468</v>
      </c>
      <c r="D507" s="1" t="s">
        <v>1469</v>
      </c>
    </row>
    <row r="508" spans="1:4" x14ac:dyDescent="0.2">
      <c r="A508" t="s">
        <v>1427</v>
      </c>
      <c r="B508" t="s">
        <v>1470</v>
      </c>
      <c r="C508" s="26" t="s">
        <v>1471</v>
      </c>
      <c r="D508" s="1" t="s">
        <v>1472</v>
      </c>
    </row>
    <row r="509" spans="1:4" x14ac:dyDescent="0.2">
      <c r="A509" t="s">
        <v>1427</v>
      </c>
      <c r="B509" t="s">
        <v>1473</v>
      </c>
      <c r="C509" s="26" t="s">
        <v>1474</v>
      </c>
      <c r="D509" s="1" t="s">
        <v>1475</v>
      </c>
    </row>
    <row r="510" spans="1:4" x14ac:dyDescent="0.2">
      <c r="A510" t="s">
        <v>1427</v>
      </c>
      <c r="B510" t="s">
        <v>1476</v>
      </c>
      <c r="C510" s="26" t="s">
        <v>1477</v>
      </c>
      <c r="D510" s="1" t="s">
        <v>1478</v>
      </c>
    </row>
    <row r="511" spans="1:4" x14ac:dyDescent="0.2">
      <c r="A511" t="s">
        <v>1427</v>
      </c>
      <c r="B511" t="s">
        <v>1479</v>
      </c>
      <c r="C511" s="27">
        <v>25.1180859611231</v>
      </c>
      <c r="D511" s="1" t="s">
        <v>1480</v>
      </c>
    </row>
    <row r="512" spans="1:4" x14ac:dyDescent="0.2">
      <c r="A512" t="s">
        <v>1427</v>
      </c>
      <c r="B512" t="s">
        <v>1481</v>
      </c>
      <c r="C512" s="27">
        <v>25.159924623803001</v>
      </c>
      <c r="D512" s="1" t="s">
        <v>1482</v>
      </c>
    </row>
    <row r="513" spans="1:4" x14ac:dyDescent="0.2">
      <c r="A513" t="s">
        <v>1427</v>
      </c>
      <c r="B513" t="s">
        <v>1483</v>
      </c>
      <c r="C513" s="26" t="s">
        <v>1484</v>
      </c>
      <c r="D513">
        <v>83.824407068607101</v>
      </c>
    </row>
    <row r="514" spans="1:4" x14ac:dyDescent="0.2">
      <c r="A514" t="s">
        <v>1427</v>
      </c>
      <c r="B514" t="s">
        <v>1485</v>
      </c>
      <c r="C514" s="26" t="s">
        <v>1486</v>
      </c>
      <c r="D514" s="1" t="s">
        <v>1487</v>
      </c>
    </row>
    <row r="515" spans="1:4" x14ac:dyDescent="0.2">
      <c r="A515" t="s">
        <v>1427</v>
      </c>
      <c r="B515" t="s">
        <v>1488</v>
      </c>
      <c r="C515" s="26" t="s">
        <v>1489</v>
      </c>
      <c r="D515" s="1" t="s">
        <v>1490</v>
      </c>
    </row>
    <row r="516" spans="1:4" x14ac:dyDescent="0.2">
      <c r="A516" t="s">
        <v>1427</v>
      </c>
      <c r="B516" t="s">
        <v>1491</v>
      </c>
      <c r="C516" s="26" t="s">
        <v>1492</v>
      </c>
      <c r="D516" s="1" t="s">
        <v>1493</v>
      </c>
    </row>
    <row r="517" spans="1:4" x14ac:dyDescent="0.2">
      <c r="A517" t="s">
        <v>1427</v>
      </c>
      <c r="B517" t="s">
        <v>1494</v>
      </c>
      <c r="C517" s="26" t="s">
        <v>1495</v>
      </c>
      <c r="D517">
        <v>79.440628457446806</v>
      </c>
    </row>
    <row r="518" spans="1:4" x14ac:dyDescent="0.2">
      <c r="A518" t="s">
        <v>1427</v>
      </c>
      <c r="B518" t="s">
        <v>1496</v>
      </c>
      <c r="C518" s="27">
        <v>25.837436203090501</v>
      </c>
      <c r="D518" s="1" t="s">
        <v>1497</v>
      </c>
    </row>
    <row r="519" spans="1:4" x14ac:dyDescent="0.2">
      <c r="A519" t="s">
        <v>1427</v>
      </c>
      <c r="B519" t="s">
        <v>1498</v>
      </c>
      <c r="C519" s="26" t="s">
        <v>1499</v>
      </c>
      <c r="D519" s="1" t="s">
        <v>1500</v>
      </c>
    </row>
    <row r="520" spans="1:4" x14ac:dyDescent="0.2">
      <c r="A520" t="s">
        <v>1427</v>
      </c>
      <c r="B520" t="s">
        <v>1501</v>
      </c>
      <c r="C520" s="26" t="s">
        <v>1502</v>
      </c>
      <c r="D520" s="1" t="s">
        <v>1503</v>
      </c>
    </row>
    <row r="521" spans="1:4" x14ac:dyDescent="0.2">
      <c r="A521" t="s">
        <v>1427</v>
      </c>
      <c r="B521" t="s">
        <v>1504</v>
      </c>
      <c r="C521" s="26" t="s">
        <v>1505</v>
      </c>
      <c r="D521" s="1" t="s">
        <v>1506</v>
      </c>
    </row>
    <row r="522" spans="1:4" x14ac:dyDescent="0.2">
      <c r="A522" t="s">
        <v>1427</v>
      </c>
      <c r="B522" t="s">
        <v>1507</v>
      </c>
      <c r="C522" s="26" t="s">
        <v>1508</v>
      </c>
      <c r="D522">
        <v>83.536085457809705</v>
      </c>
    </row>
    <row r="523" spans="1:4" x14ac:dyDescent="0.2">
      <c r="A523" t="s">
        <v>1427</v>
      </c>
      <c r="B523" t="s">
        <v>1509</v>
      </c>
      <c r="C523" s="26" t="s">
        <v>1510</v>
      </c>
      <c r="D523">
        <v>82.022688802488204</v>
      </c>
    </row>
    <row r="524" spans="1:4" x14ac:dyDescent="0.2">
      <c r="A524" t="s">
        <v>1427</v>
      </c>
      <c r="B524" t="s">
        <v>1511</v>
      </c>
      <c r="C524" s="26" t="s">
        <v>1512</v>
      </c>
      <c r="D524">
        <v>83.354956037735803</v>
      </c>
    </row>
    <row r="525" spans="1:4" x14ac:dyDescent="0.2">
      <c r="A525" t="s">
        <v>1427</v>
      </c>
      <c r="B525" t="s">
        <v>494</v>
      </c>
      <c r="C525" s="26" t="s">
        <v>1513</v>
      </c>
      <c r="D525" s="1" t="s">
        <v>1514</v>
      </c>
    </row>
    <row r="526" spans="1:4" x14ac:dyDescent="0.2">
      <c r="A526" t="s">
        <v>1427</v>
      </c>
      <c r="B526" t="s">
        <v>1515</v>
      </c>
      <c r="C526" s="26" t="s">
        <v>1516</v>
      </c>
      <c r="D526" s="1" t="s">
        <v>1517</v>
      </c>
    </row>
    <row r="527" spans="1:4" x14ac:dyDescent="0.2">
      <c r="A527" t="s">
        <v>1427</v>
      </c>
      <c r="B527" t="s">
        <v>1518</v>
      </c>
      <c r="C527" s="26" t="s">
        <v>1519</v>
      </c>
      <c r="D527" s="1" t="s">
        <v>1520</v>
      </c>
    </row>
    <row r="528" spans="1:4" x14ac:dyDescent="0.2">
      <c r="A528" t="s">
        <v>1427</v>
      </c>
      <c r="B528" t="s">
        <v>1521</v>
      </c>
      <c r="C528" s="26" t="s">
        <v>1522</v>
      </c>
      <c r="D528" s="1" t="s">
        <v>1523</v>
      </c>
    </row>
    <row r="529" spans="1:4" x14ac:dyDescent="0.2">
      <c r="A529" t="s">
        <v>1427</v>
      </c>
      <c r="B529" t="s">
        <v>1524</v>
      </c>
      <c r="C529" s="26" t="s">
        <v>1525</v>
      </c>
      <c r="D529" s="1" t="s">
        <v>1526</v>
      </c>
    </row>
    <row r="530" spans="1:4" x14ac:dyDescent="0.2">
      <c r="A530" t="s">
        <v>1427</v>
      </c>
      <c r="B530" t="s">
        <v>1527</v>
      </c>
      <c r="C530" s="26" t="s">
        <v>1528</v>
      </c>
      <c r="D530" s="1" t="s">
        <v>1529</v>
      </c>
    </row>
    <row r="531" spans="1:4" x14ac:dyDescent="0.2">
      <c r="A531" t="s">
        <v>1427</v>
      </c>
      <c r="B531" t="s">
        <v>1530</v>
      </c>
      <c r="C531" s="26" t="s">
        <v>1531</v>
      </c>
      <c r="D531" s="1" t="s">
        <v>1532</v>
      </c>
    </row>
    <row r="532" spans="1:4" x14ac:dyDescent="0.2">
      <c r="A532" t="s">
        <v>1427</v>
      </c>
      <c r="B532" t="s">
        <v>1533</v>
      </c>
      <c r="C532" s="26" t="s">
        <v>1534</v>
      </c>
      <c r="D532" s="1" t="s">
        <v>1535</v>
      </c>
    </row>
    <row r="533" spans="1:4" x14ac:dyDescent="0.2">
      <c r="A533" t="s">
        <v>1427</v>
      </c>
      <c r="B533" t="s">
        <v>1536</v>
      </c>
      <c r="C533" s="26" t="s">
        <v>1537</v>
      </c>
      <c r="D533" s="1" t="s">
        <v>1538</v>
      </c>
    </row>
    <row r="534" spans="1:4" x14ac:dyDescent="0.2">
      <c r="A534" t="s">
        <v>1427</v>
      </c>
      <c r="B534" t="s">
        <v>1539</v>
      </c>
      <c r="C534" s="27">
        <v>26.370469354838701</v>
      </c>
      <c r="D534" s="1" t="s">
        <v>1540</v>
      </c>
    </row>
    <row r="535" spans="1:4" x14ac:dyDescent="0.2">
      <c r="A535" t="s">
        <v>1427</v>
      </c>
      <c r="B535" t="s">
        <v>1541</v>
      </c>
      <c r="C535" s="26" t="s">
        <v>1542</v>
      </c>
      <c r="D535" s="1" t="s">
        <v>1543</v>
      </c>
    </row>
    <row r="536" spans="1:4" x14ac:dyDescent="0.2">
      <c r="A536" t="s">
        <v>1427</v>
      </c>
      <c r="B536" t="s">
        <v>1544</v>
      </c>
      <c r="C536" s="26" t="s">
        <v>1545</v>
      </c>
      <c r="D536" s="1" t="s">
        <v>1546</v>
      </c>
    </row>
    <row r="537" spans="1:4" x14ac:dyDescent="0.2">
      <c r="A537" t="s">
        <v>1427</v>
      </c>
      <c r="B537" t="s">
        <v>1547</v>
      </c>
      <c r="C537" s="26" t="s">
        <v>1548</v>
      </c>
      <c r="D537" s="1" t="s">
        <v>1549</v>
      </c>
    </row>
    <row r="538" spans="1:4" x14ac:dyDescent="0.2">
      <c r="A538" t="s">
        <v>1427</v>
      </c>
      <c r="B538" t="s">
        <v>1550</v>
      </c>
      <c r="C538" s="26" t="s">
        <v>1551</v>
      </c>
      <c r="D538" s="1" t="s">
        <v>1552</v>
      </c>
    </row>
    <row r="539" spans="1:4" x14ac:dyDescent="0.2">
      <c r="A539" t="s">
        <v>1427</v>
      </c>
      <c r="B539" t="s">
        <v>1553</v>
      </c>
      <c r="C539" s="26" t="s">
        <v>1554</v>
      </c>
      <c r="D539" s="1" t="s">
        <v>1555</v>
      </c>
    </row>
    <row r="540" spans="1:4" x14ac:dyDescent="0.2">
      <c r="A540" t="s">
        <v>1427</v>
      </c>
      <c r="B540" t="s">
        <v>1556</v>
      </c>
      <c r="C540" s="26" t="s">
        <v>1557</v>
      </c>
      <c r="D540" s="1" t="s">
        <v>1558</v>
      </c>
    </row>
    <row r="541" spans="1:4" x14ac:dyDescent="0.2">
      <c r="A541" t="s">
        <v>1427</v>
      </c>
      <c r="B541" t="s">
        <v>1559</v>
      </c>
      <c r="C541" s="26" t="s">
        <v>1560</v>
      </c>
      <c r="D541" s="1" t="s">
        <v>1561</v>
      </c>
    </row>
    <row r="542" spans="1:4" x14ac:dyDescent="0.2">
      <c r="A542" t="s">
        <v>1427</v>
      </c>
      <c r="B542" t="s">
        <v>1562</v>
      </c>
      <c r="C542" s="26" t="s">
        <v>1563</v>
      </c>
      <c r="D542" s="1" t="s">
        <v>1564</v>
      </c>
    </row>
    <row r="543" spans="1:4" x14ac:dyDescent="0.2">
      <c r="A543" t="s">
        <v>1427</v>
      </c>
      <c r="B543" t="s">
        <v>1565</v>
      </c>
      <c r="C543" s="26" t="s">
        <v>1566</v>
      </c>
      <c r="D543" s="1" t="s">
        <v>1567</v>
      </c>
    </row>
    <row r="544" spans="1:4" x14ac:dyDescent="0.2">
      <c r="A544" t="s">
        <v>1427</v>
      </c>
      <c r="B544" t="s">
        <v>1568</v>
      </c>
      <c r="C544" s="26" t="s">
        <v>1569</v>
      </c>
      <c r="D544" s="1" t="s">
        <v>1570</v>
      </c>
    </row>
    <row r="545" spans="1:4" x14ac:dyDescent="0.2">
      <c r="A545" t="s">
        <v>1427</v>
      </c>
      <c r="B545" t="s">
        <v>1571</v>
      </c>
      <c r="C545" s="26" t="s">
        <v>1572</v>
      </c>
      <c r="D545" s="1" t="s">
        <v>1573</v>
      </c>
    </row>
    <row r="546" spans="1:4" x14ac:dyDescent="0.2">
      <c r="A546" t="s">
        <v>1427</v>
      </c>
      <c r="B546" t="s">
        <v>1574</v>
      </c>
      <c r="C546" s="26" t="s">
        <v>1575</v>
      </c>
      <c r="D546" s="1" t="s">
        <v>1576</v>
      </c>
    </row>
    <row r="547" spans="1:4" x14ac:dyDescent="0.2">
      <c r="A547" t="s">
        <v>1427</v>
      </c>
      <c r="B547" t="s">
        <v>1577</v>
      </c>
      <c r="C547" s="26" t="s">
        <v>1578</v>
      </c>
      <c r="D547" s="1" t="s">
        <v>1579</v>
      </c>
    </row>
    <row r="548" spans="1:4" x14ac:dyDescent="0.2">
      <c r="A548" t="s">
        <v>1427</v>
      </c>
      <c r="B548" t="s">
        <v>1580</v>
      </c>
      <c r="C548" s="26" t="s">
        <v>1581</v>
      </c>
      <c r="D548" s="1" t="s">
        <v>1582</v>
      </c>
    </row>
    <row r="549" spans="1:4" x14ac:dyDescent="0.2">
      <c r="A549" t="s">
        <v>1427</v>
      </c>
      <c r="B549" t="s">
        <v>1583</v>
      </c>
      <c r="C549" s="26" t="s">
        <v>1584</v>
      </c>
      <c r="D549" s="1" t="s">
        <v>1585</v>
      </c>
    </row>
    <row r="550" spans="1:4" x14ac:dyDescent="0.2">
      <c r="A550" t="s">
        <v>1427</v>
      </c>
      <c r="B550" t="s">
        <v>1586</v>
      </c>
      <c r="C550" s="26" t="s">
        <v>1587</v>
      </c>
      <c r="D550" s="1" t="s">
        <v>1588</v>
      </c>
    </row>
    <row r="551" spans="1:4" x14ac:dyDescent="0.2">
      <c r="A551" t="s">
        <v>1427</v>
      </c>
      <c r="B551" t="s">
        <v>1589</v>
      </c>
      <c r="C551" s="26" t="s">
        <v>1590</v>
      </c>
      <c r="D551" s="1" t="s">
        <v>1591</v>
      </c>
    </row>
    <row r="552" spans="1:4" x14ac:dyDescent="0.2">
      <c r="A552" t="s">
        <v>1427</v>
      </c>
      <c r="B552" t="s">
        <v>1592</v>
      </c>
      <c r="C552" s="26" t="s">
        <v>1593</v>
      </c>
      <c r="D552" s="1" t="s">
        <v>1594</v>
      </c>
    </row>
    <row r="553" spans="1:4" x14ac:dyDescent="0.2">
      <c r="A553" t="s">
        <v>1427</v>
      </c>
      <c r="B553" t="s">
        <v>1595</v>
      </c>
      <c r="C553" s="26" t="s">
        <v>1596</v>
      </c>
      <c r="D553" s="1" t="s">
        <v>1597</v>
      </c>
    </row>
    <row r="554" spans="1:4" x14ac:dyDescent="0.2">
      <c r="A554" t="s">
        <v>1427</v>
      </c>
      <c r="B554" t="s">
        <v>1598</v>
      </c>
      <c r="C554" s="26" t="s">
        <v>1599</v>
      </c>
      <c r="D554">
        <v>83.038776434426197</v>
      </c>
    </row>
    <row r="555" spans="1:4" x14ac:dyDescent="0.2">
      <c r="A555" t="s">
        <v>1427</v>
      </c>
      <c r="B555" t="s">
        <v>1600</v>
      </c>
      <c r="C555" s="26" t="s">
        <v>1601</v>
      </c>
      <c r="D555" s="1" t="s">
        <v>1602</v>
      </c>
    </row>
    <row r="556" spans="1:4" x14ac:dyDescent="0.2">
      <c r="A556" t="s">
        <v>1427</v>
      </c>
      <c r="B556" t="s">
        <v>1603</v>
      </c>
      <c r="C556" s="26" t="s">
        <v>1604</v>
      </c>
      <c r="D556">
        <v>79.830227532467504</v>
      </c>
    </row>
    <row r="557" spans="1:4" x14ac:dyDescent="0.2">
      <c r="A557" t="s">
        <v>1427</v>
      </c>
      <c r="B557" t="s">
        <v>1605</v>
      </c>
      <c r="C557" s="26" t="s">
        <v>1606</v>
      </c>
      <c r="D557" s="1" t="s">
        <v>1607</v>
      </c>
    </row>
    <row r="558" spans="1:4" x14ac:dyDescent="0.2">
      <c r="A558" t="s">
        <v>1427</v>
      </c>
      <c r="B558" t="s">
        <v>1608</v>
      </c>
      <c r="C558" s="26" t="s">
        <v>1609</v>
      </c>
      <c r="D558" s="1" t="s">
        <v>1610</v>
      </c>
    </row>
    <row r="559" spans="1:4" x14ac:dyDescent="0.2">
      <c r="A559" t="s">
        <v>1427</v>
      </c>
      <c r="B559" t="s">
        <v>1611</v>
      </c>
      <c r="C559" s="26" t="s">
        <v>1612</v>
      </c>
      <c r="D559" s="1" t="s">
        <v>1613</v>
      </c>
    </row>
    <row r="560" spans="1:4" x14ac:dyDescent="0.2">
      <c r="A560" t="s">
        <v>1427</v>
      </c>
      <c r="B560" t="s">
        <v>1614</v>
      </c>
      <c r="C560" s="26" t="s">
        <v>1615</v>
      </c>
      <c r="D560" s="1" t="s">
        <v>1616</v>
      </c>
    </row>
    <row r="561" spans="1:4" x14ac:dyDescent="0.2">
      <c r="A561" t="s">
        <v>1427</v>
      </c>
      <c r="B561" t="s">
        <v>1617</v>
      </c>
      <c r="C561" s="27">
        <v>26.284638641975299</v>
      </c>
      <c r="D561" s="1" t="s">
        <v>1618</v>
      </c>
    </row>
    <row r="562" spans="1:4" x14ac:dyDescent="0.2">
      <c r="A562" t="s">
        <v>1427</v>
      </c>
      <c r="B562" t="s">
        <v>1619</v>
      </c>
      <c r="C562" s="26" t="s">
        <v>1620</v>
      </c>
      <c r="D562">
        <v>80.636773292868</v>
      </c>
    </row>
    <row r="563" spans="1:4" x14ac:dyDescent="0.2">
      <c r="A563" t="s">
        <v>1427</v>
      </c>
      <c r="B563" t="s">
        <v>1621</v>
      </c>
      <c r="C563" s="26" t="s">
        <v>1622</v>
      </c>
      <c r="D563" s="1" t="s">
        <v>1623</v>
      </c>
    </row>
    <row r="564" spans="1:4" x14ac:dyDescent="0.2">
      <c r="A564" t="s">
        <v>1624</v>
      </c>
      <c r="B564" t="s">
        <v>1625</v>
      </c>
      <c r="C564" s="26" t="s">
        <v>1626</v>
      </c>
      <c r="D564" s="1" t="s">
        <v>1627</v>
      </c>
    </row>
    <row r="565" spans="1:4" x14ac:dyDescent="0.2">
      <c r="A565" t="s">
        <v>1624</v>
      </c>
      <c r="B565" t="s">
        <v>1628</v>
      </c>
      <c r="C565" s="26" t="s">
        <v>1629</v>
      </c>
      <c r="D565" s="1" t="s">
        <v>1630</v>
      </c>
    </row>
    <row r="566" spans="1:4" x14ac:dyDescent="0.2">
      <c r="A566" t="s">
        <v>1624</v>
      </c>
      <c r="B566" t="s">
        <v>1631</v>
      </c>
      <c r="C566" s="26" t="s">
        <v>1632</v>
      </c>
      <c r="D566" s="1" t="s">
        <v>1633</v>
      </c>
    </row>
    <row r="567" spans="1:4" x14ac:dyDescent="0.2">
      <c r="A567" t="s">
        <v>1624</v>
      </c>
      <c r="B567" t="s">
        <v>1634</v>
      </c>
      <c r="C567" s="26" t="s">
        <v>1635</v>
      </c>
      <c r="D567" s="1" t="s">
        <v>1636</v>
      </c>
    </row>
    <row r="568" spans="1:4" x14ac:dyDescent="0.2">
      <c r="A568" t="s">
        <v>1624</v>
      </c>
      <c r="B568" t="s">
        <v>1637</v>
      </c>
      <c r="C568" s="26" t="s">
        <v>1638</v>
      </c>
      <c r="D568">
        <v>77.908841248469997</v>
      </c>
    </row>
    <row r="569" spans="1:4" x14ac:dyDescent="0.2">
      <c r="A569" t="s">
        <v>1624</v>
      </c>
      <c r="B569" t="s">
        <v>1639</v>
      </c>
      <c r="C569" s="26" t="s">
        <v>1640</v>
      </c>
      <c r="D569" s="1" t="s">
        <v>1641</v>
      </c>
    </row>
    <row r="570" spans="1:4" x14ac:dyDescent="0.2">
      <c r="A570" t="s">
        <v>1624</v>
      </c>
      <c r="B570" t="s">
        <v>1642</v>
      </c>
      <c r="C570" s="26" t="s">
        <v>1643</v>
      </c>
      <c r="D570">
        <v>79.499791183879097</v>
      </c>
    </row>
    <row r="571" spans="1:4" x14ac:dyDescent="0.2">
      <c r="A571" t="s">
        <v>1624</v>
      </c>
      <c r="B571" t="s">
        <v>1644</v>
      </c>
      <c r="C571" s="26" t="s">
        <v>1645</v>
      </c>
      <c r="D571" s="1" t="s">
        <v>1646</v>
      </c>
    </row>
    <row r="572" spans="1:4" x14ac:dyDescent="0.2">
      <c r="A572" t="s">
        <v>1624</v>
      </c>
      <c r="B572" t="s">
        <v>1647</v>
      </c>
      <c r="C572" s="26" t="s">
        <v>1648</v>
      </c>
      <c r="D572" s="1" t="s">
        <v>1649</v>
      </c>
    </row>
    <row r="573" spans="1:4" x14ac:dyDescent="0.2">
      <c r="A573" t="s">
        <v>1624</v>
      </c>
      <c r="B573" t="s">
        <v>1650</v>
      </c>
      <c r="C573" s="26" t="s">
        <v>1651</v>
      </c>
      <c r="D573" s="1" t="s">
        <v>1652</v>
      </c>
    </row>
    <row r="574" spans="1:4" x14ac:dyDescent="0.2">
      <c r="A574" t="s">
        <v>1624</v>
      </c>
      <c r="B574" t="s">
        <v>1653</v>
      </c>
      <c r="C574" s="26" t="s">
        <v>1654</v>
      </c>
      <c r="D574" s="1" t="s">
        <v>1655</v>
      </c>
    </row>
    <row r="575" spans="1:4" x14ac:dyDescent="0.2">
      <c r="A575" t="s">
        <v>1624</v>
      </c>
      <c r="B575" t="s">
        <v>1656</v>
      </c>
      <c r="C575" s="26" t="s">
        <v>1657</v>
      </c>
      <c r="D575" s="1" t="s">
        <v>1658</v>
      </c>
    </row>
    <row r="576" spans="1:4" x14ac:dyDescent="0.2">
      <c r="A576" t="s">
        <v>1624</v>
      </c>
      <c r="B576" t="s">
        <v>1659</v>
      </c>
      <c r="C576" s="26" t="s">
        <v>1660</v>
      </c>
      <c r="D576" s="1" t="s">
        <v>1661</v>
      </c>
    </row>
    <row r="577" spans="1:4" x14ac:dyDescent="0.2">
      <c r="A577" t="s">
        <v>1662</v>
      </c>
      <c r="B577" t="s">
        <v>1663</v>
      </c>
      <c r="C577" s="26" t="s">
        <v>1664</v>
      </c>
      <c r="D577" s="1" t="s">
        <v>1665</v>
      </c>
    </row>
    <row r="578" spans="1:4" x14ac:dyDescent="0.2">
      <c r="A578" t="s">
        <v>1662</v>
      </c>
      <c r="B578" t="s">
        <v>1666</v>
      </c>
      <c r="C578" s="26" t="s">
        <v>1667</v>
      </c>
      <c r="D578">
        <v>87.815058111111099</v>
      </c>
    </row>
    <row r="579" spans="1:4" x14ac:dyDescent="0.2">
      <c r="A579" t="s">
        <v>1662</v>
      </c>
      <c r="B579" t="s">
        <v>1668</v>
      </c>
      <c r="C579" s="27">
        <v>24.063893427229999</v>
      </c>
      <c r="D579" s="1" t="s">
        <v>1669</v>
      </c>
    </row>
    <row r="580" spans="1:4" x14ac:dyDescent="0.2">
      <c r="A580" t="s">
        <v>1662</v>
      </c>
      <c r="B580" t="s">
        <v>1670</v>
      </c>
      <c r="C580" s="26" t="s">
        <v>1671</v>
      </c>
      <c r="D580" s="1" t="s">
        <v>1672</v>
      </c>
    </row>
    <row r="581" spans="1:4" x14ac:dyDescent="0.2">
      <c r="A581" t="s">
        <v>1662</v>
      </c>
      <c r="B581" t="s">
        <v>1673</v>
      </c>
      <c r="C581" s="26" t="s">
        <v>1674</v>
      </c>
      <c r="D581" s="1" t="s">
        <v>1675</v>
      </c>
    </row>
    <row r="582" spans="1:4" x14ac:dyDescent="0.2">
      <c r="A582" t="s">
        <v>1662</v>
      </c>
      <c r="B582" t="s">
        <v>1676</v>
      </c>
      <c r="C582" s="26" t="s">
        <v>1677</v>
      </c>
      <c r="D582">
        <v>87.922808259033403</v>
      </c>
    </row>
    <row r="583" spans="1:4" x14ac:dyDescent="0.2">
      <c r="A583" t="s">
        <v>1662</v>
      </c>
      <c r="B583" t="s">
        <v>1678</v>
      </c>
      <c r="C583" s="26" t="s">
        <v>1679</v>
      </c>
      <c r="D583" s="1" t="s">
        <v>1680</v>
      </c>
    </row>
    <row r="584" spans="1:4" x14ac:dyDescent="0.2">
      <c r="A584" t="s">
        <v>1662</v>
      </c>
      <c r="B584" t="s">
        <v>1681</v>
      </c>
      <c r="C584" s="26" t="s">
        <v>1682</v>
      </c>
      <c r="D584" s="1" t="s">
        <v>1683</v>
      </c>
    </row>
    <row r="585" spans="1:4" x14ac:dyDescent="0.2">
      <c r="A585" t="s">
        <v>1662</v>
      </c>
      <c r="B585" t="s">
        <v>1684</v>
      </c>
      <c r="C585" s="26" t="s">
        <v>1685</v>
      </c>
      <c r="D585" s="1" t="s">
        <v>1686</v>
      </c>
    </row>
    <row r="586" spans="1:4" x14ac:dyDescent="0.2">
      <c r="A586" t="s">
        <v>1662</v>
      </c>
      <c r="B586" t="s">
        <v>1687</v>
      </c>
      <c r="C586" s="26" t="s">
        <v>1688</v>
      </c>
      <c r="D586" s="1" t="s">
        <v>1689</v>
      </c>
    </row>
    <row r="587" spans="1:4" x14ac:dyDescent="0.2">
      <c r="A587" t="s">
        <v>1662</v>
      </c>
      <c r="B587" t="s">
        <v>1690</v>
      </c>
      <c r="C587" s="26" t="s">
        <v>1691</v>
      </c>
      <c r="D587">
        <v>88.352764814814805</v>
      </c>
    </row>
    <row r="588" spans="1:4" x14ac:dyDescent="0.2">
      <c r="A588" t="s">
        <v>1662</v>
      </c>
      <c r="B588" t="s">
        <v>1692</v>
      </c>
      <c r="C588" s="26" t="s">
        <v>1693</v>
      </c>
      <c r="D588" s="1" t="s">
        <v>1694</v>
      </c>
    </row>
    <row r="589" spans="1:4" x14ac:dyDescent="0.2">
      <c r="A589" t="s">
        <v>1662</v>
      </c>
      <c r="B589" t="s">
        <v>1695</v>
      </c>
      <c r="C589" s="26" t="s">
        <v>1696</v>
      </c>
      <c r="D589" s="1" t="s">
        <v>1697</v>
      </c>
    </row>
    <row r="590" spans="1:4" x14ac:dyDescent="0.2">
      <c r="A590" t="s">
        <v>1662</v>
      </c>
      <c r="B590" t="s">
        <v>1698</v>
      </c>
      <c r="C590" s="26" t="s">
        <v>1699</v>
      </c>
      <c r="D590" s="1" t="s">
        <v>1700</v>
      </c>
    </row>
    <row r="591" spans="1:4" x14ac:dyDescent="0.2">
      <c r="A591" t="s">
        <v>1662</v>
      </c>
      <c r="B591" t="s">
        <v>1701</v>
      </c>
      <c r="C591" s="26" t="s">
        <v>1702</v>
      </c>
      <c r="D591" s="1" t="s">
        <v>1703</v>
      </c>
    </row>
    <row r="592" spans="1:4" x14ac:dyDescent="0.2">
      <c r="A592" t="s">
        <v>1662</v>
      </c>
      <c r="B592" t="s">
        <v>1704</v>
      </c>
      <c r="C592" s="26" t="s">
        <v>1705</v>
      </c>
      <c r="D592">
        <v>86.396853287671306</v>
      </c>
    </row>
    <row r="593" spans="1:4" x14ac:dyDescent="0.2">
      <c r="A593" t="s">
        <v>1662</v>
      </c>
      <c r="B593" t="s">
        <v>1706</v>
      </c>
      <c r="C593" s="26" t="s">
        <v>1707</v>
      </c>
      <c r="D593" s="1" t="s">
        <v>1708</v>
      </c>
    </row>
    <row r="594" spans="1:4" x14ac:dyDescent="0.2">
      <c r="A594" t="s">
        <v>1662</v>
      </c>
      <c r="B594" t="s">
        <v>1709</v>
      </c>
      <c r="C594" s="26" t="s">
        <v>1710</v>
      </c>
      <c r="D594" s="1" t="s">
        <v>1711</v>
      </c>
    </row>
    <row r="595" spans="1:4" x14ac:dyDescent="0.2">
      <c r="A595" t="s">
        <v>1662</v>
      </c>
      <c r="B595" t="s">
        <v>1712</v>
      </c>
      <c r="C595" s="26" t="s">
        <v>1713</v>
      </c>
      <c r="D595" s="1" t="s">
        <v>1714</v>
      </c>
    </row>
  </sheetData>
  <pageMargins left="0.75" right="0.75" top="1" bottom="1" header="0.5" footer="0.5"/>
  <extLst>
    <ext xmlns:x15="http://schemas.microsoft.com/office/spreadsheetml/2010/11/main" uri="{F7C9EE02-42E1-4005-9D12-6889AFFD525C}">
      <x15:webExtensions xmlns:xm="http://schemas.microsoft.com/office/excel/2006/main">
        <x15:webExtension appRef="{8E579677-F0FF-AF40-99B1-8A474F5275A3}">
          <xm:f>'district wise centroids'!$B$1:$D$595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EDF9-12C6-2F4E-8249-B9BD09A108CD}">
  <dimension ref="A1:D13"/>
  <sheetViews>
    <sheetView zoomScale="136" workbookViewId="0">
      <selection activeCell="A9" sqref="A9:D9"/>
    </sheetView>
  </sheetViews>
  <sheetFormatPr baseColWidth="10" defaultRowHeight="16" x14ac:dyDescent="0.2"/>
  <cols>
    <col min="1" max="1" width="22.6640625" customWidth="1"/>
    <col min="2" max="2" width="18.1640625" customWidth="1"/>
    <col min="3" max="3" width="21.83203125" customWidth="1"/>
    <col min="4" max="4" width="18.33203125" customWidth="1"/>
  </cols>
  <sheetData>
    <row r="1" spans="1:4" ht="100" customHeight="1" x14ac:dyDescent="0.2">
      <c r="A1" s="40" t="s">
        <v>1723</v>
      </c>
      <c r="B1" s="40"/>
      <c r="C1" s="40"/>
      <c r="D1" s="40"/>
    </row>
    <row r="2" spans="1:4" ht="51" customHeight="1" x14ac:dyDescent="0.2">
      <c r="A2" s="41" t="s">
        <v>1715</v>
      </c>
      <c r="B2" s="41"/>
      <c r="C2" s="41"/>
      <c r="D2" s="41"/>
    </row>
    <row r="3" spans="1:4" x14ac:dyDescent="0.2">
      <c r="A3" s="42" t="s">
        <v>1716</v>
      </c>
      <c r="B3" s="42"/>
      <c r="C3" s="42"/>
      <c r="D3" s="42"/>
    </row>
    <row r="4" spans="1:4" x14ac:dyDescent="0.2">
      <c r="A4" s="46"/>
      <c r="B4" s="46"/>
      <c r="C4" s="46"/>
      <c r="D4" s="46"/>
    </row>
    <row r="5" spans="1:4" x14ac:dyDescent="0.2">
      <c r="A5" s="43"/>
      <c r="B5" s="43"/>
      <c r="C5" s="43"/>
      <c r="D5" s="43"/>
    </row>
    <row r="6" spans="1:4" x14ac:dyDescent="0.2">
      <c r="A6" s="32" t="s">
        <v>1717</v>
      </c>
      <c r="B6" s="33" t="s">
        <v>1735</v>
      </c>
      <c r="C6" s="32" t="s">
        <v>1718</v>
      </c>
      <c r="D6" s="33" t="s">
        <v>1725</v>
      </c>
    </row>
    <row r="7" spans="1:4" x14ac:dyDescent="0.2">
      <c r="A7" s="32" t="s">
        <v>1719</v>
      </c>
      <c r="B7" s="33" t="str">
        <f>IFERROR(_xlfn.XLOOKUP(B6, 'district wise centroids'!B2:B595, 'district wise centroids'!C2:C595), "Not Found")</f>
        <v>25.360570888888894</v>
      </c>
      <c r="C7" s="32" t="s">
        <v>1721</v>
      </c>
      <c r="D7" s="33" t="str">
        <f>IFERROR(_xlfn.XLOOKUP(D6, 'district wise centroids'!B2:B595, 'district wise centroids'!C2:C595), "Not Found")</f>
        <v>25.451197677595637</v>
      </c>
    </row>
    <row r="8" spans="1:4" x14ac:dyDescent="0.2">
      <c r="A8" s="32" t="s">
        <v>1720</v>
      </c>
      <c r="B8" s="33" t="str">
        <f>IFERROR(_xlfn.XLOOKUP(B6, 'district wise centroids'!B2:B595, 'district wise centroids'!D2:D595), "Not Found")</f>
        <v>82.82529666666672</v>
      </c>
      <c r="C8" s="32" t="s">
        <v>1722</v>
      </c>
      <c r="D8" s="33" t="str">
        <f>IFERROR(_xlfn.XLOOKUP(D6, 'district wise centroids'!B2:B595, 'district wise centroids'!D2:D595), "Not Found")</f>
        <v>74.63947595628417</v>
      </c>
    </row>
    <row r="9" spans="1:4" x14ac:dyDescent="0.2">
      <c r="A9" s="47" t="s">
        <v>1726</v>
      </c>
      <c r="B9" s="48"/>
      <c r="C9" s="48"/>
      <c r="D9" s="49"/>
    </row>
    <row r="10" spans="1:4" ht="20" x14ac:dyDescent="0.2">
      <c r="A10" s="44" t="s">
        <v>1724</v>
      </c>
      <c r="B10" s="44"/>
      <c r="C10" s="45">
        <f>(6371*2*ASIN(SQRT(SIN((RADIANS(B7-D7))/2)^2+COS(RADIANS(D7))*COS(RADIANS(B7))*SIN((RADIANS(B8-D8))/2)^2)))</f>
        <v>822.12801527716556</v>
      </c>
      <c r="D10" s="45"/>
    </row>
    <row r="11" spans="1:4" x14ac:dyDescent="0.2">
      <c r="A11" s="30"/>
      <c r="B11" s="31"/>
    </row>
    <row r="12" spans="1:4" x14ac:dyDescent="0.2">
      <c r="A12" s="2"/>
      <c r="B12" s="4"/>
    </row>
    <row r="13" spans="1:4" ht="25" customHeight="1" x14ac:dyDescent="0.2">
      <c r="A13" s="2"/>
      <c r="B13" s="4"/>
    </row>
  </sheetData>
  <mergeCells count="8">
    <mergeCell ref="A1:D1"/>
    <mergeCell ref="A2:D2"/>
    <mergeCell ref="A3:D3"/>
    <mergeCell ref="A5:D5"/>
    <mergeCell ref="A10:B10"/>
    <mergeCell ref="C10:D10"/>
    <mergeCell ref="A4:D4"/>
    <mergeCell ref="A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0899-21B1-5D48-9EAF-A1285288EF90}">
  <dimension ref="A1:K602"/>
  <sheetViews>
    <sheetView topLeftCell="A2" workbookViewId="0">
      <selection activeCell="K16" sqref="K16"/>
    </sheetView>
  </sheetViews>
  <sheetFormatPr baseColWidth="10" defaultRowHeight="16" x14ac:dyDescent="0.2"/>
  <cols>
    <col min="1" max="1" width="17" customWidth="1"/>
    <col min="2" max="2" width="21.33203125" customWidth="1"/>
    <col min="3" max="3" width="21.6640625" customWidth="1"/>
    <col min="4" max="4" width="21.33203125" customWidth="1"/>
    <col min="5" max="5" width="26" customWidth="1"/>
    <col min="10" max="10" width="29.5" customWidth="1"/>
    <col min="11" max="11" width="23.83203125" customWidth="1"/>
    <col min="253" max="253" width="17" customWidth="1"/>
    <col min="254" max="254" width="21.33203125" customWidth="1"/>
    <col min="255" max="255" width="21.6640625" customWidth="1"/>
    <col min="256" max="256" width="21.33203125" customWidth="1"/>
    <col min="257" max="257" width="12.83203125" customWidth="1"/>
    <col min="258" max="258" width="12.6640625" customWidth="1"/>
    <col min="509" max="509" width="17" customWidth="1"/>
    <col min="510" max="510" width="21.33203125" customWidth="1"/>
    <col min="511" max="511" width="21.6640625" customWidth="1"/>
    <col min="512" max="512" width="21.33203125" customWidth="1"/>
    <col min="513" max="513" width="12.83203125" customWidth="1"/>
    <col min="514" max="514" width="12.6640625" customWidth="1"/>
    <col min="765" max="765" width="17" customWidth="1"/>
    <col min="766" max="766" width="21.33203125" customWidth="1"/>
    <col min="767" max="767" width="21.6640625" customWidth="1"/>
    <col min="768" max="768" width="21.33203125" customWidth="1"/>
    <col min="769" max="769" width="12.83203125" customWidth="1"/>
    <col min="770" max="770" width="12.6640625" customWidth="1"/>
    <col min="1021" max="1021" width="17" customWidth="1"/>
    <col min="1022" max="1022" width="21.33203125" customWidth="1"/>
    <col min="1023" max="1023" width="21.6640625" customWidth="1"/>
    <col min="1024" max="1024" width="21.33203125" customWidth="1"/>
    <col min="1025" max="1025" width="12.83203125" customWidth="1"/>
    <col min="1026" max="1026" width="12.6640625" customWidth="1"/>
    <col min="1277" max="1277" width="17" customWidth="1"/>
    <col min="1278" max="1278" width="21.33203125" customWidth="1"/>
    <col min="1279" max="1279" width="21.6640625" customWidth="1"/>
    <col min="1280" max="1280" width="21.33203125" customWidth="1"/>
    <col min="1281" max="1281" width="12.83203125" customWidth="1"/>
    <col min="1282" max="1282" width="12.6640625" customWidth="1"/>
    <col min="1533" max="1533" width="17" customWidth="1"/>
    <col min="1534" max="1534" width="21.33203125" customWidth="1"/>
    <col min="1535" max="1535" width="21.6640625" customWidth="1"/>
    <col min="1536" max="1536" width="21.33203125" customWidth="1"/>
    <col min="1537" max="1537" width="12.83203125" customWidth="1"/>
    <col min="1538" max="1538" width="12.6640625" customWidth="1"/>
    <col min="1789" max="1789" width="17" customWidth="1"/>
    <col min="1790" max="1790" width="21.33203125" customWidth="1"/>
    <col min="1791" max="1791" width="21.6640625" customWidth="1"/>
    <col min="1792" max="1792" width="21.33203125" customWidth="1"/>
    <col min="1793" max="1793" width="12.83203125" customWidth="1"/>
    <col min="1794" max="1794" width="12.6640625" customWidth="1"/>
    <col min="2045" max="2045" width="17" customWidth="1"/>
    <col min="2046" max="2046" width="21.33203125" customWidth="1"/>
    <col min="2047" max="2047" width="21.6640625" customWidth="1"/>
    <col min="2048" max="2048" width="21.33203125" customWidth="1"/>
    <col min="2049" max="2049" width="12.83203125" customWidth="1"/>
    <col min="2050" max="2050" width="12.6640625" customWidth="1"/>
    <col min="2301" max="2301" width="17" customWidth="1"/>
    <col min="2302" max="2302" width="21.33203125" customWidth="1"/>
    <col min="2303" max="2303" width="21.6640625" customWidth="1"/>
    <col min="2304" max="2304" width="21.33203125" customWidth="1"/>
    <col min="2305" max="2305" width="12.83203125" customWidth="1"/>
    <col min="2306" max="2306" width="12.6640625" customWidth="1"/>
    <col min="2557" max="2557" width="17" customWidth="1"/>
    <col min="2558" max="2558" width="21.33203125" customWidth="1"/>
    <col min="2559" max="2559" width="21.6640625" customWidth="1"/>
    <col min="2560" max="2560" width="21.33203125" customWidth="1"/>
    <col min="2561" max="2561" width="12.83203125" customWidth="1"/>
    <col min="2562" max="2562" width="12.6640625" customWidth="1"/>
    <col min="2813" max="2813" width="17" customWidth="1"/>
    <col min="2814" max="2814" width="21.33203125" customWidth="1"/>
    <col min="2815" max="2815" width="21.6640625" customWidth="1"/>
    <col min="2816" max="2816" width="21.33203125" customWidth="1"/>
    <col min="2817" max="2817" width="12.83203125" customWidth="1"/>
    <col min="2818" max="2818" width="12.6640625" customWidth="1"/>
    <col min="3069" max="3069" width="17" customWidth="1"/>
    <col min="3070" max="3070" width="21.33203125" customWidth="1"/>
    <col min="3071" max="3071" width="21.6640625" customWidth="1"/>
    <col min="3072" max="3072" width="21.33203125" customWidth="1"/>
    <col min="3073" max="3073" width="12.83203125" customWidth="1"/>
    <col min="3074" max="3074" width="12.6640625" customWidth="1"/>
    <col min="3325" max="3325" width="17" customWidth="1"/>
    <col min="3326" max="3326" width="21.33203125" customWidth="1"/>
    <col min="3327" max="3327" width="21.6640625" customWidth="1"/>
    <col min="3328" max="3328" width="21.33203125" customWidth="1"/>
    <col min="3329" max="3329" width="12.83203125" customWidth="1"/>
    <col min="3330" max="3330" width="12.6640625" customWidth="1"/>
    <col min="3581" max="3581" width="17" customWidth="1"/>
    <col min="3582" max="3582" width="21.33203125" customWidth="1"/>
    <col min="3583" max="3583" width="21.6640625" customWidth="1"/>
    <col min="3584" max="3584" width="21.33203125" customWidth="1"/>
    <col min="3585" max="3585" width="12.83203125" customWidth="1"/>
    <col min="3586" max="3586" width="12.6640625" customWidth="1"/>
    <col min="3837" max="3837" width="17" customWidth="1"/>
    <col min="3838" max="3838" width="21.33203125" customWidth="1"/>
    <col min="3839" max="3839" width="21.6640625" customWidth="1"/>
    <col min="3840" max="3840" width="21.33203125" customWidth="1"/>
    <col min="3841" max="3841" width="12.83203125" customWidth="1"/>
    <col min="3842" max="3842" width="12.6640625" customWidth="1"/>
    <col min="4093" max="4093" width="17" customWidth="1"/>
    <col min="4094" max="4094" width="21.33203125" customWidth="1"/>
    <col min="4095" max="4095" width="21.6640625" customWidth="1"/>
    <col min="4096" max="4096" width="21.33203125" customWidth="1"/>
    <col min="4097" max="4097" width="12.83203125" customWidth="1"/>
    <col min="4098" max="4098" width="12.6640625" customWidth="1"/>
    <col min="4349" max="4349" width="17" customWidth="1"/>
    <col min="4350" max="4350" width="21.33203125" customWidth="1"/>
    <col min="4351" max="4351" width="21.6640625" customWidth="1"/>
    <col min="4352" max="4352" width="21.33203125" customWidth="1"/>
    <col min="4353" max="4353" width="12.83203125" customWidth="1"/>
    <col min="4354" max="4354" width="12.6640625" customWidth="1"/>
    <col min="4605" max="4605" width="17" customWidth="1"/>
    <col min="4606" max="4606" width="21.33203125" customWidth="1"/>
    <col min="4607" max="4607" width="21.6640625" customWidth="1"/>
    <col min="4608" max="4608" width="21.33203125" customWidth="1"/>
    <col min="4609" max="4609" width="12.83203125" customWidth="1"/>
    <col min="4610" max="4610" width="12.6640625" customWidth="1"/>
    <col min="4861" max="4861" width="17" customWidth="1"/>
    <col min="4862" max="4862" width="21.33203125" customWidth="1"/>
    <col min="4863" max="4863" width="21.6640625" customWidth="1"/>
    <col min="4864" max="4864" width="21.33203125" customWidth="1"/>
    <col min="4865" max="4865" width="12.83203125" customWidth="1"/>
    <col min="4866" max="4866" width="12.6640625" customWidth="1"/>
    <col min="5117" max="5117" width="17" customWidth="1"/>
    <col min="5118" max="5118" width="21.33203125" customWidth="1"/>
    <col min="5119" max="5119" width="21.6640625" customWidth="1"/>
    <col min="5120" max="5120" width="21.33203125" customWidth="1"/>
    <col min="5121" max="5121" width="12.83203125" customWidth="1"/>
    <col min="5122" max="5122" width="12.6640625" customWidth="1"/>
    <col min="5373" max="5373" width="17" customWidth="1"/>
    <col min="5374" max="5374" width="21.33203125" customWidth="1"/>
    <col min="5375" max="5375" width="21.6640625" customWidth="1"/>
    <col min="5376" max="5376" width="21.33203125" customWidth="1"/>
    <col min="5377" max="5377" width="12.83203125" customWidth="1"/>
    <col min="5378" max="5378" width="12.6640625" customWidth="1"/>
    <col min="5629" max="5629" width="17" customWidth="1"/>
    <col min="5630" max="5630" width="21.33203125" customWidth="1"/>
    <col min="5631" max="5631" width="21.6640625" customWidth="1"/>
    <col min="5632" max="5632" width="21.33203125" customWidth="1"/>
    <col min="5633" max="5633" width="12.83203125" customWidth="1"/>
    <col min="5634" max="5634" width="12.6640625" customWidth="1"/>
    <col min="5885" max="5885" width="17" customWidth="1"/>
    <col min="5886" max="5886" width="21.33203125" customWidth="1"/>
    <col min="5887" max="5887" width="21.6640625" customWidth="1"/>
    <col min="5888" max="5888" width="21.33203125" customWidth="1"/>
    <col min="5889" max="5889" width="12.83203125" customWidth="1"/>
    <col min="5890" max="5890" width="12.6640625" customWidth="1"/>
    <col min="6141" max="6141" width="17" customWidth="1"/>
    <col min="6142" max="6142" width="21.33203125" customWidth="1"/>
    <col min="6143" max="6143" width="21.6640625" customWidth="1"/>
    <col min="6144" max="6144" width="21.33203125" customWidth="1"/>
    <col min="6145" max="6145" width="12.83203125" customWidth="1"/>
    <col min="6146" max="6146" width="12.6640625" customWidth="1"/>
    <col min="6397" max="6397" width="17" customWidth="1"/>
    <col min="6398" max="6398" width="21.33203125" customWidth="1"/>
    <col min="6399" max="6399" width="21.6640625" customWidth="1"/>
    <col min="6400" max="6400" width="21.33203125" customWidth="1"/>
    <col min="6401" max="6401" width="12.83203125" customWidth="1"/>
    <col min="6402" max="6402" width="12.6640625" customWidth="1"/>
    <col min="6653" max="6653" width="17" customWidth="1"/>
    <col min="6654" max="6654" width="21.33203125" customWidth="1"/>
    <col min="6655" max="6655" width="21.6640625" customWidth="1"/>
    <col min="6656" max="6656" width="21.33203125" customWidth="1"/>
    <col min="6657" max="6657" width="12.83203125" customWidth="1"/>
    <col min="6658" max="6658" width="12.6640625" customWidth="1"/>
    <col min="6909" max="6909" width="17" customWidth="1"/>
    <col min="6910" max="6910" width="21.33203125" customWidth="1"/>
    <col min="6911" max="6911" width="21.6640625" customWidth="1"/>
    <col min="6912" max="6912" width="21.33203125" customWidth="1"/>
    <col min="6913" max="6913" width="12.83203125" customWidth="1"/>
    <col min="6914" max="6914" width="12.6640625" customWidth="1"/>
    <col min="7165" max="7165" width="17" customWidth="1"/>
    <col min="7166" max="7166" width="21.33203125" customWidth="1"/>
    <col min="7167" max="7167" width="21.6640625" customWidth="1"/>
    <col min="7168" max="7168" width="21.33203125" customWidth="1"/>
    <col min="7169" max="7169" width="12.83203125" customWidth="1"/>
    <col min="7170" max="7170" width="12.6640625" customWidth="1"/>
    <col min="7421" max="7421" width="17" customWidth="1"/>
    <col min="7422" max="7422" width="21.33203125" customWidth="1"/>
    <col min="7423" max="7423" width="21.6640625" customWidth="1"/>
    <col min="7424" max="7424" width="21.33203125" customWidth="1"/>
    <col min="7425" max="7425" width="12.83203125" customWidth="1"/>
    <col min="7426" max="7426" width="12.6640625" customWidth="1"/>
    <col min="7677" max="7677" width="17" customWidth="1"/>
    <col min="7678" max="7678" width="21.33203125" customWidth="1"/>
    <col min="7679" max="7679" width="21.6640625" customWidth="1"/>
    <col min="7680" max="7680" width="21.33203125" customWidth="1"/>
    <col min="7681" max="7681" width="12.83203125" customWidth="1"/>
    <col min="7682" max="7682" width="12.6640625" customWidth="1"/>
    <col min="7933" max="7933" width="17" customWidth="1"/>
    <col min="7934" max="7934" width="21.33203125" customWidth="1"/>
    <col min="7935" max="7935" width="21.6640625" customWidth="1"/>
    <col min="7936" max="7936" width="21.33203125" customWidth="1"/>
    <col min="7937" max="7937" width="12.83203125" customWidth="1"/>
    <col min="7938" max="7938" width="12.6640625" customWidth="1"/>
    <col min="8189" max="8189" width="17" customWidth="1"/>
    <col min="8190" max="8190" width="21.33203125" customWidth="1"/>
    <col min="8191" max="8191" width="21.6640625" customWidth="1"/>
    <col min="8192" max="8192" width="21.33203125" customWidth="1"/>
    <col min="8193" max="8193" width="12.83203125" customWidth="1"/>
    <col min="8194" max="8194" width="12.6640625" customWidth="1"/>
    <col min="8445" max="8445" width="17" customWidth="1"/>
    <col min="8446" max="8446" width="21.33203125" customWidth="1"/>
    <col min="8447" max="8447" width="21.6640625" customWidth="1"/>
    <col min="8448" max="8448" width="21.33203125" customWidth="1"/>
    <col min="8449" max="8449" width="12.83203125" customWidth="1"/>
    <col min="8450" max="8450" width="12.6640625" customWidth="1"/>
    <col min="8701" max="8701" width="17" customWidth="1"/>
    <col min="8702" max="8702" width="21.33203125" customWidth="1"/>
    <col min="8703" max="8703" width="21.6640625" customWidth="1"/>
    <col min="8704" max="8704" width="21.33203125" customWidth="1"/>
    <col min="8705" max="8705" width="12.83203125" customWidth="1"/>
    <col min="8706" max="8706" width="12.6640625" customWidth="1"/>
    <col min="8957" max="8957" width="17" customWidth="1"/>
    <col min="8958" max="8958" width="21.33203125" customWidth="1"/>
    <col min="8959" max="8959" width="21.6640625" customWidth="1"/>
    <col min="8960" max="8960" width="21.33203125" customWidth="1"/>
    <col min="8961" max="8961" width="12.83203125" customWidth="1"/>
    <col min="8962" max="8962" width="12.6640625" customWidth="1"/>
    <col min="9213" max="9213" width="17" customWidth="1"/>
    <col min="9214" max="9214" width="21.33203125" customWidth="1"/>
    <col min="9215" max="9215" width="21.6640625" customWidth="1"/>
    <col min="9216" max="9216" width="21.33203125" customWidth="1"/>
    <col min="9217" max="9217" width="12.83203125" customWidth="1"/>
    <col min="9218" max="9218" width="12.6640625" customWidth="1"/>
    <col min="9469" max="9469" width="17" customWidth="1"/>
    <col min="9470" max="9470" width="21.33203125" customWidth="1"/>
    <col min="9471" max="9471" width="21.6640625" customWidth="1"/>
    <col min="9472" max="9472" width="21.33203125" customWidth="1"/>
    <col min="9473" max="9473" width="12.83203125" customWidth="1"/>
    <col min="9474" max="9474" width="12.6640625" customWidth="1"/>
    <col min="9725" max="9725" width="17" customWidth="1"/>
    <col min="9726" max="9726" width="21.33203125" customWidth="1"/>
    <col min="9727" max="9727" width="21.6640625" customWidth="1"/>
    <col min="9728" max="9728" width="21.33203125" customWidth="1"/>
    <col min="9729" max="9729" width="12.83203125" customWidth="1"/>
    <col min="9730" max="9730" width="12.6640625" customWidth="1"/>
    <col min="9981" max="9981" width="17" customWidth="1"/>
    <col min="9982" max="9982" width="21.33203125" customWidth="1"/>
    <col min="9983" max="9983" width="21.6640625" customWidth="1"/>
    <col min="9984" max="9984" width="21.33203125" customWidth="1"/>
    <col min="9985" max="9985" width="12.83203125" customWidth="1"/>
    <col min="9986" max="9986" width="12.6640625" customWidth="1"/>
    <col min="10237" max="10237" width="17" customWidth="1"/>
    <col min="10238" max="10238" width="21.33203125" customWidth="1"/>
    <col min="10239" max="10239" width="21.6640625" customWidth="1"/>
    <col min="10240" max="10240" width="21.33203125" customWidth="1"/>
    <col min="10241" max="10241" width="12.83203125" customWidth="1"/>
    <col min="10242" max="10242" width="12.6640625" customWidth="1"/>
    <col min="10493" max="10493" width="17" customWidth="1"/>
    <col min="10494" max="10494" width="21.33203125" customWidth="1"/>
    <col min="10495" max="10495" width="21.6640625" customWidth="1"/>
    <col min="10496" max="10496" width="21.33203125" customWidth="1"/>
    <col min="10497" max="10497" width="12.83203125" customWidth="1"/>
    <col min="10498" max="10498" width="12.6640625" customWidth="1"/>
    <col min="10749" max="10749" width="17" customWidth="1"/>
    <col min="10750" max="10750" width="21.33203125" customWidth="1"/>
    <col min="10751" max="10751" width="21.6640625" customWidth="1"/>
    <col min="10752" max="10752" width="21.33203125" customWidth="1"/>
    <col min="10753" max="10753" width="12.83203125" customWidth="1"/>
    <col min="10754" max="10754" width="12.6640625" customWidth="1"/>
    <col min="11005" max="11005" width="17" customWidth="1"/>
    <col min="11006" max="11006" width="21.33203125" customWidth="1"/>
    <col min="11007" max="11007" width="21.6640625" customWidth="1"/>
    <col min="11008" max="11008" width="21.33203125" customWidth="1"/>
    <col min="11009" max="11009" width="12.83203125" customWidth="1"/>
    <col min="11010" max="11010" width="12.6640625" customWidth="1"/>
    <col min="11261" max="11261" width="17" customWidth="1"/>
    <col min="11262" max="11262" width="21.33203125" customWidth="1"/>
    <col min="11263" max="11263" width="21.6640625" customWidth="1"/>
    <col min="11264" max="11264" width="21.33203125" customWidth="1"/>
    <col min="11265" max="11265" width="12.83203125" customWidth="1"/>
    <col min="11266" max="11266" width="12.6640625" customWidth="1"/>
    <col min="11517" max="11517" width="17" customWidth="1"/>
    <col min="11518" max="11518" width="21.33203125" customWidth="1"/>
    <col min="11519" max="11519" width="21.6640625" customWidth="1"/>
    <col min="11520" max="11520" width="21.33203125" customWidth="1"/>
    <col min="11521" max="11521" width="12.83203125" customWidth="1"/>
    <col min="11522" max="11522" width="12.6640625" customWidth="1"/>
    <col min="11773" max="11773" width="17" customWidth="1"/>
    <col min="11774" max="11774" width="21.33203125" customWidth="1"/>
    <col min="11775" max="11775" width="21.6640625" customWidth="1"/>
    <col min="11776" max="11776" width="21.33203125" customWidth="1"/>
    <col min="11777" max="11777" width="12.83203125" customWidth="1"/>
    <col min="11778" max="11778" width="12.6640625" customWidth="1"/>
    <col min="12029" max="12029" width="17" customWidth="1"/>
    <col min="12030" max="12030" width="21.33203125" customWidth="1"/>
    <col min="12031" max="12031" width="21.6640625" customWidth="1"/>
    <col min="12032" max="12032" width="21.33203125" customWidth="1"/>
    <col min="12033" max="12033" width="12.83203125" customWidth="1"/>
    <col min="12034" max="12034" width="12.6640625" customWidth="1"/>
    <col min="12285" max="12285" width="17" customWidth="1"/>
    <col min="12286" max="12286" width="21.33203125" customWidth="1"/>
    <col min="12287" max="12287" width="21.6640625" customWidth="1"/>
    <col min="12288" max="12288" width="21.33203125" customWidth="1"/>
    <col min="12289" max="12289" width="12.83203125" customWidth="1"/>
    <col min="12290" max="12290" width="12.6640625" customWidth="1"/>
    <col min="12541" max="12541" width="17" customWidth="1"/>
    <col min="12542" max="12542" width="21.33203125" customWidth="1"/>
    <col min="12543" max="12543" width="21.6640625" customWidth="1"/>
    <col min="12544" max="12544" width="21.33203125" customWidth="1"/>
    <col min="12545" max="12545" width="12.83203125" customWidth="1"/>
    <col min="12546" max="12546" width="12.6640625" customWidth="1"/>
    <col min="12797" max="12797" width="17" customWidth="1"/>
    <col min="12798" max="12798" width="21.33203125" customWidth="1"/>
    <col min="12799" max="12799" width="21.6640625" customWidth="1"/>
    <col min="12800" max="12800" width="21.33203125" customWidth="1"/>
    <col min="12801" max="12801" width="12.83203125" customWidth="1"/>
    <col min="12802" max="12802" width="12.6640625" customWidth="1"/>
    <col min="13053" max="13053" width="17" customWidth="1"/>
    <col min="13054" max="13054" width="21.33203125" customWidth="1"/>
    <col min="13055" max="13055" width="21.6640625" customWidth="1"/>
    <col min="13056" max="13056" width="21.33203125" customWidth="1"/>
    <col min="13057" max="13057" width="12.83203125" customWidth="1"/>
    <col min="13058" max="13058" width="12.6640625" customWidth="1"/>
    <col min="13309" max="13309" width="17" customWidth="1"/>
    <col min="13310" max="13310" width="21.33203125" customWidth="1"/>
    <col min="13311" max="13311" width="21.6640625" customWidth="1"/>
    <col min="13312" max="13312" width="21.33203125" customWidth="1"/>
    <col min="13313" max="13313" width="12.83203125" customWidth="1"/>
    <col min="13314" max="13314" width="12.6640625" customWidth="1"/>
    <col min="13565" max="13565" width="17" customWidth="1"/>
    <col min="13566" max="13566" width="21.33203125" customWidth="1"/>
    <col min="13567" max="13567" width="21.6640625" customWidth="1"/>
    <col min="13568" max="13568" width="21.33203125" customWidth="1"/>
    <col min="13569" max="13569" width="12.83203125" customWidth="1"/>
    <col min="13570" max="13570" width="12.6640625" customWidth="1"/>
    <col min="13821" max="13821" width="17" customWidth="1"/>
    <col min="13822" max="13822" width="21.33203125" customWidth="1"/>
    <col min="13823" max="13823" width="21.6640625" customWidth="1"/>
    <col min="13824" max="13824" width="21.33203125" customWidth="1"/>
    <col min="13825" max="13825" width="12.83203125" customWidth="1"/>
    <col min="13826" max="13826" width="12.6640625" customWidth="1"/>
    <col min="14077" max="14077" width="17" customWidth="1"/>
    <col min="14078" max="14078" width="21.33203125" customWidth="1"/>
    <col min="14079" max="14079" width="21.6640625" customWidth="1"/>
    <col min="14080" max="14080" width="21.33203125" customWidth="1"/>
    <col min="14081" max="14081" width="12.83203125" customWidth="1"/>
    <col min="14082" max="14082" width="12.6640625" customWidth="1"/>
    <col min="14333" max="14333" width="17" customWidth="1"/>
    <col min="14334" max="14334" width="21.33203125" customWidth="1"/>
    <col min="14335" max="14335" width="21.6640625" customWidth="1"/>
    <col min="14336" max="14336" width="21.33203125" customWidth="1"/>
    <col min="14337" max="14337" width="12.83203125" customWidth="1"/>
    <col min="14338" max="14338" width="12.6640625" customWidth="1"/>
    <col min="14589" max="14589" width="17" customWidth="1"/>
    <col min="14590" max="14590" width="21.33203125" customWidth="1"/>
    <col min="14591" max="14591" width="21.6640625" customWidth="1"/>
    <col min="14592" max="14592" width="21.33203125" customWidth="1"/>
    <col min="14593" max="14593" width="12.83203125" customWidth="1"/>
    <col min="14594" max="14594" width="12.6640625" customWidth="1"/>
    <col min="14845" max="14845" width="17" customWidth="1"/>
    <col min="14846" max="14846" width="21.33203125" customWidth="1"/>
    <col min="14847" max="14847" width="21.6640625" customWidth="1"/>
    <col min="14848" max="14848" width="21.33203125" customWidth="1"/>
    <col min="14849" max="14849" width="12.83203125" customWidth="1"/>
    <col min="14850" max="14850" width="12.6640625" customWidth="1"/>
    <col min="15101" max="15101" width="17" customWidth="1"/>
    <col min="15102" max="15102" width="21.33203125" customWidth="1"/>
    <col min="15103" max="15103" width="21.6640625" customWidth="1"/>
    <col min="15104" max="15104" width="21.33203125" customWidth="1"/>
    <col min="15105" max="15105" width="12.83203125" customWidth="1"/>
    <col min="15106" max="15106" width="12.6640625" customWidth="1"/>
    <col min="15357" max="15357" width="17" customWidth="1"/>
    <col min="15358" max="15358" width="21.33203125" customWidth="1"/>
    <col min="15359" max="15359" width="21.6640625" customWidth="1"/>
    <col min="15360" max="15360" width="21.33203125" customWidth="1"/>
    <col min="15361" max="15361" width="12.83203125" customWidth="1"/>
    <col min="15362" max="15362" width="12.6640625" customWidth="1"/>
    <col min="15613" max="15613" width="17" customWidth="1"/>
    <col min="15614" max="15614" width="21.33203125" customWidth="1"/>
    <col min="15615" max="15615" width="21.6640625" customWidth="1"/>
    <col min="15616" max="15616" width="21.33203125" customWidth="1"/>
    <col min="15617" max="15617" width="12.83203125" customWidth="1"/>
    <col min="15618" max="15618" width="12.6640625" customWidth="1"/>
    <col min="15869" max="15869" width="17" customWidth="1"/>
    <col min="15870" max="15870" width="21.33203125" customWidth="1"/>
    <col min="15871" max="15871" width="21.6640625" customWidth="1"/>
    <col min="15872" max="15872" width="21.33203125" customWidth="1"/>
    <col min="15873" max="15873" width="12.83203125" customWidth="1"/>
    <col min="15874" max="15874" width="12.6640625" customWidth="1"/>
    <col min="16125" max="16125" width="17" customWidth="1"/>
    <col min="16126" max="16126" width="21.33203125" customWidth="1"/>
    <col min="16127" max="16127" width="21.6640625" customWidth="1"/>
    <col min="16128" max="16128" width="21.33203125" customWidth="1"/>
    <col min="16129" max="16129" width="12.83203125" customWidth="1"/>
    <col min="16130" max="16130" width="12.6640625" customWidth="1"/>
  </cols>
  <sheetData>
    <row r="1" spans="1:11" ht="24" x14ac:dyDescent="0.3">
      <c r="J1" s="50" t="s">
        <v>2141</v>
      </c>
      <c r="K1" s="50"/>
    </row>
    <row r="2" spans="1:11" ht="23" x14ac:dyDescent="0.2">
      <c r="J2" s="14" t="s">
        <v>1730</v>
      </c>
      <c r="K2" s="15" t="s">
        <v>1727</v>
      </c>
    </row>
    <row r="3" spans="1:11" ht="22" x14ac:dyDescent="0.3">
      <c r="J3" s="13" t="s">
        <v>1731</v>
      </c>
      <c r="K3" s="13" t="str">
        <f>IFERROR(_xlfn.XLOOKUP(K2, B2:B602,C2:C602), "Not Found")</f>
        <v>28.83244727272725</v>
      </c>
    </row>
    <row r="4" spans="1:11" ht="22" x14ac:dyDescent="0.3">
      <c r="J4" s="13" t="s">
        <v>1732</v>
      </c>
      <c r="K4" s="13" t="str">
        <f>IFERROR(_xlfn.XLOOKUP(K2, B2:B602,D2:D602), "Not Found")</f>
        <v>79.10977333333337</v>
      </c>
    </row>
    <row r="5" spans="1:11" ht="22" x14ac:dyDescent="0.3">
      <c r="J5" s="12" t="s">
        <v>1734</v>
      </c>
      <c r="K5" s="12">
        <v>1229</v>
      </c>
    </row>
    <row r="6" spans="1:11" ht="22" x14ac:dyDescent="0.3">
      <c r="J6" s="12" t="s">
        <v>1736</v>
      </c>
      <c r="K6" s="12">
        <f>COUNTIFS(E9:E602, "&lt;=" &amp; $K$5, E9:E602, "&gt;0")</f>
        <v>418</v>
      </c>
    </row>
    <row r="7" spans="1:11" ht="22" x14ac:dyDescent="0.3">
      <c r="K7" s="11"/>
    </row>
    <row r="8" spans="1:11" s="8" customFormat="1" ht="50" customHeight="1" x14ac:dyDescent="0.3">
      <c r="A8" s="3" t="s">
        <v>0</v>
      </c>
      <c r="B8" s="3" t="s">
        <v>1</v>
      </c>
      <c r="C8" s="3" t="s">
        <v>2</v>
      </c>
      <c r="D8" s="3" t="s">
        <v>3</v>
      </c>
      <c r="E8" s="7" t="s">
        <v>1733</v>
      </c>
      <c r="J8" s="8" t="s">
        <v>1737</v>
      </c>
    </row>
    <row r="9" spans="1:11" x14ac:dyDescent="0.2">
      <c r="A9" t="s">
        <v>4</v>
      </c>
      <c r="B9" t="s">
        <v>5</v>
      </c>
      <c r="C9" s="1" t="s">
        <v>6</v>
      </c>
      <c r="D9" s="1" t="s">
        <v>7</v>
      </c>
      <c r="E9">
        <f t="shared" ref="E9:E40" si="0">(6371*2*ASIN(SQRT(SIN((RADIANS($K$3-C9))/2)^2+COS(RADIANS(C9))*COS(RADIANS($K$3))*SIN((RADIANS($K$4-D9))/2)^2)))</f>
        <v>2315.5167297035764</v>
      </c>
      <c r="J9" t="str" cm="1">
        <f t="array" ref="J9:J426">_xlfn._xlws.FILTER(B9:B602, (E9:E602&lt;=$K$5) * (E9:E602&gt;0), "None within range")</f>
        <v>Adilabad</v>
      </c>
    </row>
    <row r="10" spans="1:11" x14ac:dyDescent="0.2">
      <c r="A10" t="s">
        <v>4</v>
      </c>
      <c r="B10" t="s">
        <v>8</v>
      </c>
      <c r="C10" s="1" t="s">
        <v>9</v>
      </c>
      <c r="D10" s="1" t="s">
        <v>10</v>
      </c>
      <c r="E10">
        <f t="shared" si="0"/>
        <v>2779.5976858469962</v>
      </c>
      <c r="J10" t="str">
        <v>Karimnagar</v>
      </c>
    </row>
    <row r="11" spans="1:11" x14ac:dyDescent="0.2">
      <c r="A11" t="s">
        <v>11</v>
      </c>
      <c r="B11" t="s">
        <v>12</v>
      </c>
      <c r="C11" s="1" t="s">
        <v>13</v>
      </c>
      <c r="D11" s="1" t="s">
        <v>14</v>
      </c>
      <c r="E11">
        <f t="shared" si="0"/>
        <v>1062.1070898533458</v>
      </c>
      <c r="J11" t="str">
        <v>Medak</v>
      </c>
    </row>
    <row r="12" spans="1:11" x14ac:dyDescent="0.2">
      <c r="A12" t="s">
        <v>11</v>
      </c>
      <c r="B12" t="s">
        <v>15</v>
      </c>
      <c r="C12" s="1" t="s">
        <v>16</v>
      </c>
      <c r="D12">
        <v>77.460158447857694</v>
      </c>
      <c r="E12">
        <f t="shared" si="0"/>
        <v>1623.5079102771176</v>
      </c>
      <c r="J12" t="str">
        <v>Nizamabad</v>
      </c>
    </row>
    <row r="13" spans="1:11" x14ac:dyDescent="0.2">
      <c r="A13" t="s">
        <v>11</v>
      </c>
      <c r="B13" t="s">
        <v>17</v>
      </c>
      <c r="C13" s="1" t="s">
        <v>18</v>
      </c>
      <c r="D13" s="1" t="s">
        <v>19</v>
      </c>
      <c r="E13">
        <f t="shared" si="0"/>
        <v>1723.7746579078027</v>
      </c>
      <c r="J13" t="str">
        <v>Warangal</v>
      </c>
    </row>
    <row r="14" spans="1:11" x14ac:dyDescent="0.2">
      <c r="A14" t="s">
        <v>11</v>
      </c>
      <c r="B14" t="s">
        <v>20</v>
      </c>
      <c r="C14" s="1" t="s">
        <v>21</v>
      </c>
      <c r="D14" s="1" t="s">
        <v>22</v>
      </c>
      <c r="E14">
        <f t="shared" si="0"/>
        <v>1595.3435814331872</v>
      </c>
      <c r="J14" t="str">
        <v>Barpeta</v>
      </c>
    </row>
    <row r="15" spans="1:11" x14ac:dyDescent="0.2">
      <c r="A15" t="s">
        <v>11</v>
      </c>
      <c r="B15" t="s">
        <v>23</v>
      </c>
      <c r="C15" s="1" t="s">
        <v>24</v>
      </c>
      <c r="D15">
        <v>82.243207472051097</v>
      </c>
      <c r="E15">
        <f t="shared" si="0"/>
        <v>1377.6130235440883</v>
      </c>
      <c r="J15" t="str">
        <v>Bongaigaon</v>
      </c>
    </row>
    <row r="16" spans="1:11" x14ac:dyDescent="0.2">
      <c r="A16" t="s">
        <v>11</v>
      </c>
      <c r="B16" t="s">
        <v>25</v>
      </c>
      <c r="C16" s="1" t="s">
        <v>26</v>
      </c>
      <c r="D16" s="1" t="s">
        <v>27</v>
      </c>
      <c r="E16">
        <f t="shared" si="0"/>
        <v>1447.6351962348106</v>
      </c>
      <c r="J16" t="str">
        <v>Dhuburi</v>
      </c>
    </row>
    <row r="17" spans="1:10" x14ac:dyDescent="0.2">
      <c r="A17" t="s">
        <v>11</v>
      </c>
      <c r="B17" t="s">
        <v>28</v>
      </c>
      <c r="C17" s="1" t="s">
        <v>29</v>
      </c>
      <c r="D17" s="1" t="s">
        <v>30</v>
      </c>
      <c r="E17">
        <f t="shared" si="0"/>
        <v>1274.0636337593101</v>
      </c>
      <c r="J17" t="str">
        <v>Goalpara</v>
      </c>
    </row>
    <row r="18" spans="1:10" x14ac:dyDescent="0.2">
      <c r="A18" t="s">
        <v>11</v>
      </c>
      <c r="B18" t="s">
        <v>31</v>
      </c>
      <c r="C18" s="1" t="s">
        <v>32</v>
      </c>
      <c r="D18" s="1" t="s">
        <v>33</v>
      </c>
      <c r="E18">
        <f t="shared" si="0"/>
        <v>1147.6778254252247</v>
      </c>
      <c r="J18" t="str">
        <v>Kokrajhar</v>
      </c>
    </row>
    <row r="19" spans="1:10" x14ac:dyDescent="0.2">
      <c r="A19" t="s">
        <v>11</v>
      </c>
      <c r="B19" t="s">
        <v>34</v>
      </c>
      <c r="C19" s="1" t="s">
        <v>35</v>
      </c>
      <c r="D19" s="1" t="s">
        <v>36</v>
      </c>
      <c r="E19">
        <f t="shared" si="0"/>
        <v>1249.8155476278998</v>
      </c>
      <c r="J19" t="str">
        <v>Araria</v>
      </c>
    </row>
    <row r="20" spans="1:10" x14ac:dyDescent="0.2">
      <c r="A20" t="s">
        <v>11</v>
      </c>
      <c r="B20" t="s">
        <v>37</v>
      </c>
      <c r="C20" s="1" t="s">
        <v>38</v>
      </c>
      <c r="D20" s="1" t="s">
        <v>39</v>
      </c>
      <c r="E20">
        <f t="shared" si="0"/>
        <v>1426.2657114786459</v>
      </c>
      <c r="J20" t="str">
        <v>Aurangabad</v>
      </c>
    </row>
    <row r="21" spans="1:10" x14ac:dyDescent="0.2">
      <c r="A21" t="s">
        <v>11</v>
      </c>
      <c r="B21" t="s">
        <v>40</v>
      </c>
      <c r="C21" s="1" t="s">
        <v>41</v>
      </c>
      <c r="D21" s="1" t="s">
        <v>42</v>
      </c>
      <c r="E21">
        <f t="shared" si="0"/>
        <v>1494.599653164408</v>
      </c>
      <c r="J21" t="str">
        <v>Banka</v>
      </c>
    </row>
    <row r="22" spans="1:10" x14ac:dyDescent="0.2">
      <c r="A22" t="s">
        <v>11</v>
      </c>
      <c r="B22" t="s">
        <v>43</v>
      </c>
      <c r="C22" s="1" t="s">
        <v>44</v>
      </c>
      <c r="D22" s="1" t="s">
        <v>45</v>
      </c>
      <c r="E22">
        <f t="shared" si="0"/>
        <v>1360.6213014711748</v>
      </c>
      <c r="J22" t="str">
        <v>Begusarai</v>
      </c>
    </row>
    <row r="23" spans="1:10" x14ac:dyDescent="0.2">
      <c r="A23" t="s">
        <v>11</v>
      </c>
      <c r="B23" t="s">
        <v>46</v>
      </c>
      <c r="C23" s="1" t="s">
        <v>47</v>
      </c>
      <c r="D23" s="1" t="s">
        <v>48</v>
      </c>
      <c r="E23">
        <f t="shared" si="0"/>
        <v>1220.8412527640464</v>
      </c>
      <c r="J23" t="str">
        <v>Bhabua</v>
      </c>
    </row>
    <row r="24" spans="1:10" x14ac:dyDescent="0.2">
      <c r="A24" t="s">
        <v>11</v>
      </c>
      <c r="B24" t="s">
        <v>49</v>
      </c>
      <c r="C24" s="1" t="s">
        <v>50</v>
      </c>
      <c r="D24" s="1" t="s">
        <v>51</v>
      </c>
      <c r="E24">
        <f t="shared" si="0"/>
        <v>1303.1296573204447</v>
      </c>
      <c r="J24" t="str">
        <v>Bhagalpur</v>
      </c>
    </row>
    <row r="25" spans="1:10" x14ac:dyDescent="0.2">
      <c r="A25" t="s">
        <v>11</v>
      </c>
      <c r="B25" t="s">
        <v>52</v>
      </c>
      <c r="C25" s="1" t="s">
        <v>53</v>
      </c>
      <c r="D25" s="1" t="s">
        <v>54</v>
      </c>
      <c r="E25">
        <f t="shared" si="0"/>
        <v>1664.4818823397629</v>
      </c>
      <c r="J25" t="str">
        <v>Bhojpur</v>
      </c>
    </row>
    <row r="26" spans="1:10" x14ac:dyDescent="0.2">
      <c r="A26" t="s">
        <v>11</v>
      </c>
      <c r="B26" t="s">
        <v>55</v>
      </c>
      <c r="C26" s="1" t="s">
        <v>56</v>
      </c>
      <c r="D26" s="1" t="s">
        <v>57</v>
      </c>
      <c r="E26">
        <f t="shared" si="0"/>
        <v>1161.5267638607481</v>
      </c>
      <c r="J26" t="str">
        <v>Buxar</v>
      </c>
    </row>
    <row r="27" spans="1:10" x14ac:dyDescent="0.2">
      <c r="A27" t="s">
        <v>11</v>
      </c>
      <c r="B27" t="s">
        <v>58</v>
      </c>
      <c r="C27" s="1" t="s">
        <v>59</v>
      </c>
      <c r="D27" s="1" t="s">
        <v>60</v>
      </c>
      <c r="E27">
        <f t="shared" si="0"/>
        <v>1487.3135471884041</v>
      </c>
      <c r="J27" t="str">
        <v>Darbhanga</v>
      </c>
    </row>
    <row r="28" spans="1:10" x14ac:dyDescent="0.2">
      <c r="A28" t="s">
        <v>11</v>
      </c>
      <c r="B28" t="s">
        <v>61</v>
      </c>
      <c r="C28" s="1" t="s">
        <v>62</v>
      </c>
      <c r="D28" s="1" t="s">
        <v>63</v>
      </c>
      <c r="E28">
        <f t="shared" si="0"/>
        <v>1292.9062824162925</v>
      </c>
      <c r="J28" t="str">
        <v>Gaya</v>
      </c>
    </row>
    <row r="29" spans="1:10" x14ac:dyDescent="0.2">
      <c r="A29" t="s">
        <v>11</v>
      </c>
      <c r="B29" t="s">
        <v>64</v>
      </c>
      <c r="C29" s="1" t="s">
        <v>65</v>
      </c>
      <c r="D29" s="1" t="s">
        <v>66</v>
      </c>
      <c r="E29">
        <f t="shared" si="0"/>
        <v>1255.2279761300417</v>
      </c>
      <c r="J29" t="str">
        <v>Gopalganj</v>
      </c>
    </row>
    <row r="30" spans="1:10" x14ac:dyDescent="0.2">
      <c r="A30" t="s">
        <v>11</v>
      </c>
      <c r="B30" t="s">
        <v>67</v>
      </c>
      <c r="C30">
        <v>17.646839033989298</v>
      </c>
      <c r="D30" s="1" t="s">
        <v>68</v>
      </c>
      <c r="E30">
        <f t="shared" si="0"/>
        <v>1305.7615081137085</v>
      </c>
      <c r="J30" t="str">
        <v>Jamui</v>
      </c>
    </row>
    <row r="31" spans="1:10" x14ac:dyDescent="0.2">
      <c r="A31" t="s">
        <v>11</v>
      </c>
      <c r="B31" t="s">
        <v>69</v>
      </c>
      <c r="C31" s="1" t="s">
        <v>70</v>
      </c>
      <c r="D31" s="1" t="s">
        <v>71</v>
      </c>
      <c r="E31">
        <f t="shared" si="0"/>
        <v>1253.660196452131</v>
      </c>
      <c r="J31" t="str">
        <v>Jehanabad</v>
      </c>
    </row>
    <row r="32" spans="1:10" x14ac:dyDescent="0.2">
      <c r="A32" t="s">
        <v>11</v>
      </c>
      <c r="B32" t="s">
        <v>72</v>
      </c>
      <c r="C32" s="1" t="s">
        <v>73</v>
      </c>
      <c r="D32" s="1" t="s">
        <v>74</v>
      </c>
      <c r="E32">
        <f t="shared" si="0"/>
        <v>1205.0793641224645</v>
      </c>
      <c r="J32" t="str">
        <v>Katihar</v>
      </c>
    </row>
    <row r="33" spans="1:10" x14ac:dyDescent="0.2">
      <c r="A33" t="s">
        <v>11</v>
      </c>
      <c r="B33" t="s">
        <v>75</v>
      </c>
      <c r="C33" s="1" t="s">
        <v>76</v>
      </c>
      <c r="D33" s="1" t="s">
        <v>77</v>
      </c>
      <c r="E33">
        <f t="shared" si="0"/>
        <v>1377.6285810844179</v>
      </c>
      <c r="J33" t="str">
        <v>Khagaria</v>
      </c>
    </row>
    <row r="34" spans="1:10" x14ac:dyDescent="0.2">
      <c r="A34" t="s">
        <v>78</v>
      </c>
      <c r="B34" t="s">
        <v>79</v>
      </c>
      <c r="C34" s="1" t="s">
        <v>80</v>
      </c>
      <c r="D34" s="1" t="s">
        <v>81</v>
      </c>
      <c r="E34">
        <f t="shared" si="0"/>
        <v>1699.999416454348</v>
      </c>
      <c r="J34" t="str">
        <v>Kishanganj</v>
      </c>
    </row>
    <row r="35" spans="1:10" x14ac:dyDescent="0.2">
      <c r="A35" t="s">
        <v>78</v>
      </c>
      <c r="B35" t="s">
        <v>82</v>
      </c>
      <c r="C35" s="1" t="s">
        <v>83</v>
      </c>
      <c r="D35" s="1" t="s">
        <v>84</v>
      </c>
      <c r="E35">
        <f t="shared" si="0"/>
        <v>1375.9003304904754</v>
      </c>
      <c r="J35" t="str">
        <v>Lakhisarai</v>
      </c>
    </row>
    <row r="36" spans="1:10" x14ac:dyDescent="0.2">
      <c r="A36" t="s">
        <v>78</v>
      </c>
      <c r="B36" t="s">
        <v>85</v>
      </c>
      <c r="C36" s="1" t="s">
        <v>86</v>
      </c>
      <c r="D36" s="1" t="s">
        <v>87</v>
      </c>
      <c r="E36">
        <f t="shared" si="0"/>
        <v>1559.9012877578152</v>
      </c>
      <c r="J36" t="str">
        <v>Madhepura</v>
      </c>
    </row>
    <row r="37" spans="1:10" x14ac:dyDescent="0.2">
      <c r="A37" t="s">
        <v>78</v>
      </c>
      <c r="B37" t="s">
        <v>88</v>
      </c>
      <c r="C37" s="1" t="s">
        <v>89</v>
      </c>
      <c r="D37" s="1" t="s">
        <v>90</v>
      </c>
      <c r="E37">
        <f t="shared" si="0"/>
        <v>1384.0326314414133</v>
      </c>
      <c r="J37" t="str">
        <v>Madhubani</v>
      </c>
    </row>
    <row r="38" spans="1:10" x14ac:dyDescent="0.2">
      <c r="A38" t="s">
        <v>78</v>
      </c>
      <c r="B38" t="s">
        <v>91</v>
      </c>
      <c r="C38" s="1" t="s">
        <v>92</v>
      </c>
      <c r="D38" s="1" t="s">
        <v>93</v>
      </c>
      <c r="E38">
        <f t="shared" si="0"/>
        <v>1711.8992030225725</v>
      </c>
      <c r="J38" t="str">
        <v>Munger</v>
      </c>
    </row>
    <row r="39" spans="1:10" x14ac:dyDescent="0.2">
      <c r="A39" t="s">
        <v>78</v>
      </c>
      <c r="B39" t="s">
        <v>94</v>
      </c>
      <c r="C39" s="1" t="s">
        <v>95</v>
      </c>
      <c r="D39" s="1" t="s">
        <v>96</v>
      </c>
      <c r="E39">
        <f t="shared" si="0"/>
        <v>1626.0317966491457</v>
      </c>
      <c r="J39" t="str">
        <v>Muzaffarpur</v>
      </c>
    </row>
    <row r="40" spans="1:10" x14ac:dyDescent="0.2">
      <c r="A40" t="s">
        <v>78</v>
      </c>
      <c r="B40" t="s">
        <v>97</v>
      </c>
      <c r="C40" s="1" t="s">
        <v>98</v>
      </c>
      <c r="D40" s="1" t="s">
        <v>99</v>
      </c>
      <c r="E40">
        <f t="shared" si="0"/>
        <v>1458.9315148771223</v>
      </c>
      <c r="J40" t="str">
        <v>Nalanda</v>
      </c>
    </row>
    <row r="41" spans="1:10" x14ac:dyDescent="0.2">
      <c r="A41" t="s">
        <v>78</v>
      </c>
      <c r="B41" t="s">
        <v>100</v>
      </c>
      <c r="C41" s="1" t="s">
        <v>101</v>
      </c>
      <c r="D41" s="1" t="s">
        <v>102</v>
      </c>
      <c r="E41">
        <f t="shared" ref="E41:E72" si="1">(6371*2*ASIN(SQRT(SIN((RADIANS($K$3-C41))/2)^2+COS(RADIANS(C41))*COS(RADIANS($K$3))*SIN((RADIANS($K$4-D41))/2)^2)))</f>
        <v>1426.171735050174</v>
      </c>
      <c r="J41" t="str">
        <v>Nawada</v>
      </c>
    </row>
    <row r="42" spans="1:10" x14ac:dyDescent="0.2">
      <c r="A42" t="s">
        <v>78</v>
      </c>
      <c r="B42" t="s">
        <v>103</v>
      </c>
      <c r="C42" s="1" t="s">
        <v>104</v>
      </c>
      <c r="D42" s="1" t="s">
        <v>105</v>
      </c>
      <c r="E42">
        <f t="shared" si="1"/>
        <v>1251.3481805655067</v>
      </c>
      <c r="J42" t="str">
        <v>Pashchim Champaran</v>
      </c>
    </row>
    <row r="43" spans="1:10" x14ac:dyDescent="0.2">
      <c r="A43" t="s">
        <v>78</v>
      </c>
      <c r="B43" t="s">
        <v>106</v>
      </c>
      <c r="C43" s="1" t="s">
        <v>107</v>
      </c>
      <c r="D43" s="1" t="s">
        <v>108</v>
      </c>
      <c r="E43">
        <f t="shared" si="1"/>
        <v>1614.8493907393902</v>
      </c>
      <c r="J43" t="str">
        <v>Patna</v>
      </c>
    </row>
    <row r="44" spans="1:10" x14ac:dyDescent="0.2">
      <c r="A44" t="s">
        <v>78</v>
      </c>
      <c r="B44" t="s">
        <v>109</v>
      </c>
      <c r="C44" s="1" t="s">
        <v>110</v>
      </c>
      <c r="D44" s="1" t="s">
        <v>111</v>
      </c>
      <c r="E44">
        <f t="shared" si="1"/>
        <v>1641.3431182935517</v>
      </c>
      <c r="J44" t="str">
        <v>Purba Champaran</v>
      </c>
    </row>
    <row r="45" spans="1:10" x14ac:dyDescent="0.2">
      <c r="A45" t="s">
        <v>78</v>
      </c>
      <c r="B45" t="s">
        <v>112</v>
      </c>
      <c r="C45">
        <v>28.830924489795901</v>
      </c>
      <c r="D45" s="1" t="s">
        <v>113</v>
      </c>
      <c r="E45">
        <f t="shared" si="1"/>
        <v>1546.8775116866927</v>
      </c>
      <c r="J45" t="str">
        <v>Purnia</v>
      </c>
    </row>
    <row r="46" spans="1:10" x14ac:dyDescent="0.2">
      <c r="A46" t="s">
        <v>78</v>
      </c>
      <c r="B46" t="s">
        <v>114</v>
      </c>
      <c r="C46" s="1" t="s">
        <v>115</v>
      </c>
      <c r="D46" s="1" t="s">
        <v>116</v>
      </c>
      <c r="E46">
        <f t="shared" si="1"/>
        <v>1444.8541263725299</v>
      </c>
      <c r="J46" t="str">
        <v>Rohtas</v>
      </c>
    </row>
    <row r="47" spans="1:10" x14ac:dyDescent="0.2">
      <c r="A47" t="s">
        <v>78</v>
      </c>
      <c r="B47" t="s">
        <v>117</v>
      </c>
      <c r="C47" s="1" t="s">
        <v>118</v>
      </c>
      <c r="D47" s="1" t="s">
        <v>119</v>
      </c>
      <c r="E47">
        <f t="shared" si="1"/>
        <v>1335.4838714375358</v>
      </c>
      <c r="J47" t="str">
        <v>Saharsa</v>
      </c>
    </row>
    <row r="48" spans="1:10" x14ac:dyDescent="0.2">
      <c r="A48" t="s">
        <v>78</v>
      </c>
      <c r="B48" t="s">
        <v>120</v>
      </c>
      <c r="C48" s="1" t="s">
        <v>121</v>
      </c>
      <c r="D48" s="1" t="s">
        <v>122</v>
      </c>
      <c r="E48">
        <f t="shared" si="1"/>
        <v>1508.9031764722831</v>
      </c>
      <c r="J48" t="str">
        <v>Samastipur</v>
      </c>
    </row>
    <row r="49" spans="1:10" x14ac:dyDescent="0.2">
      <c r="A49" t="s">
        <v>123</v>
      </c>
      <c r="B49" t="s">
        <v>124</v>
      </c>
      <c r="C49" s="1" t="s">
        <v>125</v>
      </c>
      <c r="D49" s="1" t="s">
        <v>126</v>
      </c>
      <c r="E49">
        <f t="shared" si="1"/>
        <v>1198.8871087055293</v>
      </c>
      <c r="J49" t="str">
        <v>Saran</v>
      </c>
    </row>
    <row r="50" spans="1:10" x14ac:dyDescent="0.2">
      <c r="A50" t="s">
        <v>123</v>
      </c>
      <c r="B50" t="s">
        <v>127</v>
      </c>
      <c r="C50" s="1" t="s">
        <v>128</v>
      </c>
      <c r="D50">
        <v>90.673429618768395</v>
      </c>
      <c r="E50">
        <f t="shared" si="1"/>
        <v>1168.913520217583</v>
      </c>
      <c r="J50" t="str">
        <v>Sheikhpura</v>
      </c>
    </row>
    <row r="51" spans="1:10" x14ac:dyDescent="0.2">
      <c r="A51" t="s">
        <v>123</v>
      </c>
      <c r="B51" t="s">
        <v>129</v>
      </c>
      <c r="C51" s="1" t="s">
        <v>130</v>
      </c>
      <c r="D51" s="1" t="s">
        <v>131</v>
      </c>
      <c r="E51">
        <f t="shared" si="1"/>
        <v>1435.3757325628533</v>
      </c>
      <c r="J51" t="str">
        <v>Sheohar</v>
      </c>
    </row>
    <row r="52" spans="1:10" x14ac:dyDescent="0.2">
      <c r="A52" t="s">
        <v>123</v>
      </c>
      <c r="B52" t="s">
        <v>132</v>
      </c>
      <c r="C52" s="1" t="s">
        <v>133</v>
      </c>
      <c r="D52" s="1" t="s">
        <v>134</v>
      </c>
      <c r="E52">
        <f t="shared" si="1"/>
        <v>1296.6196986936529</v>
      </c>
      <c r="J52" t="str">
        <v>Sitamarhi</v>
      </c>
    </row>
    <row r="53" spans="1:10" x14ac:dyDescent="0.2">
      <c r="A53" t="s">
        <v>123</v>
      </c>
      <c r="B53" t="s">
        <v>135</v>
      </c>
      <c r="C53" s="1" t="s">
        <v>136</v>
      </c>
      <c r="D53" s="1" t="s">
        <v>137</v>
      </c>
      <c r="E53">
        <f t="shared" si="1"/>
        <v>1534.1119095743013</v>
      </c>
      <c r="J53" t="str">
        <v>Siwan</v>
      </c>
    </row>
    <row r="54" spans="1:10" x14ac:dyDescent="0.2">
      <c r="A54" t="s">
        <v>123</v>
      </c>
      <c r="B54" t="s">
        <v>138</v>
      </c>
      <c r="C54" s="1" t="s">
        <v>139</v>
      </c>
      <c r="D54" s="1" t="s">
        <v>140</v>
      </c>
      <c r="E54">
        <f t="shared" si="1"/>
        <v>1116.5777009003725</v>
      </c>
      <c r="J54" t="str">
        <v>Supaul</v>
      </c>
    </row>
    <row r="55" spans="1:10" x14ac:dyDescent="0.2">
      <c r="A55" t="s">
        <v>123</v>
      </c>
      <c r="B55" t="s">
        <v>141</v>
      </c>
      <c r="C55" s="1" t="s">
        <v>142</v>
      </c>
      <c r="D55">
        <v>95.099828232758696</v>
      </c>
      <c r="E55">
        <f t="shared" si="1"/>
        <v>1576.8220908409455</v>
      </c>
      <c r="J55" t="str">
        <v>Vaishali</v>
      </c>
    </row>
    <row r="56" spans="1:10" x14ac:dyDescent="0.2">
      <c r="A56" t="s">
        <v>123</v>
      </c>
      <c r="B56" t="s">
        <v>143</v>
      </c>
      <c r="C56" s="1" t="s">
        <v>144</v>
      </c>
      <c r="D56" s="1" t="s">
        <v>145</v>
      </c>
      <c r="E56">
        <f t="shared" si="1"/>
        <v>1175.7636567172751</v>
      </c>
      <c r="J56" t="str">
        <v>Chandigarh</v>
      </c>
    </row>
    <row r="57" spans="1:10" x14ac:dyDescent="0.2">
      <c r="A57" t="s">
        <v>123</v>
      </c>
      <c r="B57" t="s">
        <v>146</v>
      </c>
      <c r="C57" s="1" t="s">
        <v>147</v>
      </c>
      <c r="D57" s="1" t="s">
        <v>148</v>
      </c>
      <c r="E57">
        <f t="shared" si="1"/>
        <v>1474.5084743275795</v>
      </c>
      <c r="J57" t="str">
        <v>Bastar</v>
      </c>
    </row>
    <row r="58" spans="1:10" x14ac:dyDescent="0.2">
      <c r="A58" t="s">
        <v>123</v>
      </c>
      <c r="B58" t="s">
        <v>149</v>
      </c>
      <c r="C58" s="1" t="s">
        <v>150</v>
      </c>
      <c r="D58" s="1" t="s">
        <v>151</v>
      </c>
      <c r="E58">
        <f t="shared" si="1"/>
        <v>1424.3564269970736</v>
      </c>
      <c r="J58" t="str">
        <v>Bilaspur</v>
      </c>
    </row>
    <row r="59" spans="1:10" x14ac:dyDescent="0.2">
      <c r="A59" t="s">
        <v>123</v>
      </c>
      <c r="B59" t="s">
        <v>152</v>
      </c>
      <c r="C59" s="1" t="s">
        <v>153</v>
      </c>
      <c r="D59" s="1" t="s">
        <v>154</v>
      </c>
      <c r="E59">
        <f t="shared" si="1"/>
        <v>1510.8833750467008</v>
      </c>
      <c r="J59" t="str">
        <v>Dantewada</v>
      </c>
    </row>
    <row r="60" spans="1:10" x14ac:dyDescent="0.2">
      <c r="A60" t="s">
        <v>123</v>
      </c>
      <c r="B60" t="s">
        <v>155</v>
      </c>
      <c r="C60" s="1" t="s">
        <v>156</v>
      </c>
      <c r="D60" s="1" t="s">
        <v>157</v>
      </c>
      <c r="E60">
        <f t="shared" si="1"/>
        <v>1265.1638833521035</v>
      </c>
      <c r="J60" t="str">
        <v>Dhamtari</v>
      </c>
    </row>
    <row r="61" spans="1:10" x14ac:dyDescent="0.2">
      <c r="A61" t="s">
        <v>123</v>
      </c>
      <c r="B61" t="s">
        <v>158</v>
      </c>
      <c r="C61" s="1" t="s">
        <v>159</v>
      </c>
      <c r="D61" s="1" t="s">
        <v>160</v>
      </c>
      <c r="E61">
        <f t="shared" si="1"/>
        <v>1414.1793254093704</v>
      </c>
      <c r="J61" t="str">
        <v>Durg</v>
      </c>
    </row>
    <row r="62" spans="1:10" x14ac:dyDescent="0.2">
      <c r="A62" t="s">
        <v>123</v>
      </c>
      <c r="B62" t="s">
        <v>161</v>
      </c>
      <c r="C62" s="1" t="s">
        <v>162</v>
      </c>
      <c r="D62" s="1" t="s">
        <v>163</v>
      </c>
      <c r="E62">
        <f t="shared" si="1"/>
        <v>1393.2817205297747</v>
      </c>
      <c r="J62" t="str">
        <v>Janjgir-Champa</v>
      </c>
    </row>
    <row r="63" spans="1:10" x14ac:dyDescent="0.2">
      <c r="A63" t="s">
        <v>123</v>
      </c>
      <c r="B63" t="s">
        <v>164</v>
      </c>
      <c r="C63" s="1" t="s">
        <v>165</v>
      </c>
      <c r="D63" s="1" t="s">
        <v>166</v>
      </c>
      <c r="E63">
        <f t="shared" si="1"/>
        <v>1116.4041072264313</v>
      </c>
      <c r="J63" t="str">
        <v>Jashpur</v>
      </c>
    </row>
    <row r="64" spans="1:10" x14ac:dyDescent="0.2">
      <c r="A64" t="s">
        <v>123</v>
      </c>
      <c r="B64" t="s">
        <v>167</v>
      </c>
      <c r="C64" s="1" t="s">
        <v>168</v>
      </c>
      <c r="D64">
        <v>94.077594925373205</v>
      </c>
      <c r="E64">
        <f t="shared" si="1"/>
        <v>1480.6751616468366</v>
      </c>
      <c r="J64" t="str">
        <v>Kanker</v>
      </c>
    </row>
    <row r="65" spans="1:10" x14ac:dyDescent="0.2">
      <c r="A65" t="s">
        <v>123</v>
      </c>
      <c r="B65" t="s">
        <v>169</v>
      </c>
      <c r="C65" s="1" t="s">
        <v>170</v>
      </c>
      <c r="D65" s="1" t="s">
        <v>171</v>
      </c>
      <c r="E65">
        <f t="shared" si="1"/>
        <v>1323.3746658134758</v>
      </c>
      <c r="J65" t="str">
        <v>Kawardha</v>
      </c>
    </row>
    <row r="66" spans="1:10" x14ac:dyDescent="0.2">
      <c r="A66" t="s">
        <v>123</v>
      </c>
      <c r="B66" t="s">
        <v>172</v>
      </c>
      <c r="C66" s="1" t="s">
        <v>173</v>
      </c>
      <c r="D66">
        <v>92.930619114470801</v>
      </c>
      <c r="E66">
        <f t="shared" si="1"/>
        <v>1391.2612647594519</v>
      </c>
      <c r="J66" t="str">
        <v>Korba</v>
      </c>
    </row>
    <row r="67" spans="1:10" x14ac:dyDescent="0.2">
      <c r="A67" t="s">
        <v>123</v>
      </c>
      <c r="B67" t="s">
        <v>174</v>
      </c>
      <c r="C67" s="1" t="s">
        <v>175</v>
      </c>
      <c r="D67" s="1" t="s">
        <v>176</v>
      </c>
      <c r="E67">
        <f t="shared" si="1"/>
        <v>1238.831518444123</v>
      </c>
      <c r="J67" t="str">
        <v>Koriya</v>
      </c>
    </row>
    <row r="68" spans="1:10" x14ac:dyDescent="0.2">
      <c r="A68" t="s">
        <v>123</v>
      </c>
      <c r="B68" t="s">
        <v>177</v>
      </c>
      <c r="C68" s="1" t="s">
        <v>178</v>
      </c>
      <c r="D68" s="1" t="s">
        <v>179</v>
      </c>
      <c r="E68">
        <f t="shared" si="1"/>
        <v>1425.7774657536374</v>
      </c>
      <c r="J68" t="str">
        <v>Mahasamund</v>
      </c>
    </row>
    <row r="69" spans="1:10" x14ac:dyDescent="0.2">
      <c r="A69" t="s">
        <v>123</v>
      </c>
      <c r="B69" t="s">
        <v>180</v>
      </c>
      <c r="C69" s="1" t="s">
        <v>181</v>
      </c>
      <c r="D69" s="1" t="s">
        <v>182</v>
      </c>
      <c r="E69">
        <f t="shared" si="1"/>
        <v>1563.0394242014206</v>
      </c>
      <c r="J69" t="str">
        <v>Raigarh</v>
      </c>
    </row>
    <row r="70" spans="1:10" x14ac:dyDescent="0.2">
      <c r="A70" t="s">
        <v>123</v>
      </c>
      <c r="B70" t="s">
        <v>183</v>
      </c>
      <c r="C70" s="1" t="s">
        <v>184</v>
      </c>
      <c r="D70" s="1" t="s">
        <v>185</v>
      </c>
      <c r="E70">
        <f t="shared" si="1"/>
        <v>1371.0312909675922</v>
      </c>
      <c r="J70" t="str">
        <v>Raipur</v>
      </c>
    </row>
    <row r="71" spans="1:10" x14ac:dyDescent="0.2">
      <c r="A71" t="s">
        <v>123</v>
      </c>
      <c r="B71" t="s">
        <v>186</v>
      </c>
      <c r="C71" s="1" t="s">
        <v>187</v>
      </c>
      <c r="D71" s="1" t="s">
        <v>188</v>
      </c>
      <c r="E71">
        <f t="shared" si="1"/>
        <v>1630.1562105181799</v>
      </c>
      <c r="J71" t="str">
        <v>Raj Nandgaon</v>
      </c>
    </row>
    <row r="72" spans="1:10" x14ac:dyDescent="0.2">
      <c r="A72" t="s">
        <v>189</v>
      </c>
      <c r="B72" t="s">
        <v>190</v>
      </c>
      <c r="C72" s="1" t="s">
        <v>191</v>
      </c>
      <c r="D72" s="1" t="s">
        <v>192</v>
      </c>
      <c r="E72">
        <f t="shared" si="1"/>
        <v>859.07359083667859</v>
      </c>
      <c r="J72" t="str">
        <v>Surguja</v>
      </c>
    </row>
    <row r="73" spans="1:10" x14ac:dyDescent="0.2">
      <c r="A73" t="s">
        <v>189</v>
      </c>
      <c r="B73" t="s">
        <v>193</v>
      </c>
      <c r="C73" s="1" t="s">
        <v>194</v>
      </c>
      <c r="D73" s="1" t="s">
        <v>195</v>
      </c>
      <c r="E73">
        <f t="shared" ref="E73:E104" si="2">(6371*2*ASIN(SQRT(SIN((RADIANS($K$3-C73))/2)^2+COS(RADIANS(C73))*COS(RADIANS($K$3))*SIN((RADIANS($K$4-D73))/2)^2)))</f>
        <v>696.64856761977899</v>
      </c>
      <c r="J73" t="str">
        <v>Dadra and Nagar Haveli</v>
      </c>
    </row>
    <row r="74" spans="1:10" x14ac:dyDescent="0.2">
      <c r="A74" t="s">
        <v>189</v>
      </c>
      <c r="B74" t="s">
        <v>196</v>
      </c>
      <c r="C74" s="1" t="s">
        <v>197</v>
      </c>
      <c r="D74">
        <v>86.866491634241299</v>
      </c>
      <c r="E74">
        <f t="shared" ref="E74:E137" si="3">(6371*2*ASIN(SQRT(SIN((RADIANS($K$3-C74))/2)^2+COS(RADIANS(C74))*COS(RADIANS($K$3))*SIN((RADIANS($K$4-D74))/2)^2)))</f>
        <v>888.58141467897417</v>
      </c>
      <c r="J74" t="str">
        <v>Daman</v>
      </c>
    </row>
    <row r="75" spans="1:10" x14ac:dyDescent="0.2">
      <c r="A75" t="s">
        <v>189</v>
      </c>
      <c r="B75" t="s">
        <v>198</v>
      </c>
      <c r="C75" s="1" t="s">
        <v>199</v>
      </c>
      <c r="D75" s="1" t="s">
        <v>200</v>
      </c>
      <c r="E75">
        <f t="shared" si="3"/>
        <v>784.19640187974346</v>
      </c>
      <c r="J75" t="str">
        <v>Junagadh</v>
      </c>
    </row>
    <row r="76" spans="1:10" x14ac:dyDescent="0.2">
      <c r="A76" t="s">
        <v>189</v>
      </c>
      <c r="B76" t="s">
        <v>201</v>
      </c>
      <c r="C76" s="1" t="s">
        <v>202</v>
      </c>
      <c r="D76" s="1" t="s">
        <v>203</v>
      </c>
      <c r="E76">
        <f t="shared" si="3"/>
        <v>615.28626126757149</v>
      </c>
      <c r="J76" t="str">
        <v>Delhi</v>
      </c>
    </row>
    <row r="77" spans="1:10" x14ac:dyDescent="0.2">
      <c r="A77" t="s">
        <v>189</v>
      </c>
      <c r="B77" t="s">
        <v>204</v>
      </c>
      <c r="C77" s="1" t="s">
        <v>205</v>
      </c>
      <c r="D77" s="1" t="s">
        <v>206</v>
      </c>
      <c r="E77">
        <f t="shared" si="3"/>
        <v>879.0706933811465</v>
      </c>
      <c r="J77" t="str">
        <v>Ahmadabad</v>
      </c>
    </row>
    <row r="78" spans="1:10" x14ac:dyDescent="0.2">
      <c r="A78" t="s">
        <v>189</v>
      </c>
      <c r="B78" t="s">
        <v>207</v>
      </c>
      <c r="C78" s="1" t="s">
        <v>208</v>
      </c>
      <c r="D78" s="1" t="s">
        <v>209</v>
      </c>
      <c r="E78">
        <f t="shared" si="3"/>
        <v>648.29356637845922</v>
      </c>
      <c r="J78" t="str">
        <v>Amreli</v>
      </c>
    </row>
    <row r="79" spans="1:10" x14ac:dyDescent="0.2">
      <c r="A79" t="s">
        <v>189</v>
      </c>
      <c r="B79" t="s">
        <v>210</v>
      </c>
      <c r="C79" s="1" t="s">
        <v>211</v>
      </c>
      <c r="D79" s="1" t="s">
        <v>212</v>
      </c>
      <c r="E79">
        <f t="shared" si="3"/>
        <v>617.16964056368317</v>
      </c>
      <c r="J79" t="str">
        <v>Anand</v>
      </c>
    </row>
    <row r="80" spans="1:10" x14ac:dyDescent="0.2">
      <c r="A80" t="s">
        <v>189</v>
      </c>
      <c r="B80" t="s">
        <v>213</v>
      </c>
      <c r="C80" s="1" t="s">
        <v>214</v>
      </c>
      <c r="D80" s="1" t="s">
        <v>215</v>
      </c>
      <c r="E80">
        <f t="shared" si="3"/>
        <v>739.85687691598446</v>
      </c>
      <c r="J80" t="str">
        <v>Banas Kantha</v>
      </c>
    </row>
    <row r="81" spans="1:10" x14ac:dyDescent="0.2">
      <c r="A81" t="s">
        <v>189</v>
      </c>
      <c r="B81" t="s">
        <v>216</v>
      </c>
      <c r="C81">
        <v>24.7266541547278</v>
      </c>
      <c r="D81" s="1" t="s">
        <v>217</v>
      </c>
      <c r="E81">
        <f t="shared" si="3"/>
        <v>737.16880974321077</v>
      </c>
      <c r="J81" t="str">
        <v>Bharuch</v>
      </c>
    </row>
    <row r="82" spans="1:10" x14ac:dyDescent="0.2">
      <c r="A82" t="s">
        <v>189</v>
      </c>
      <c r="B82" t="s">
        <v>218</v>
      </c>
      <c r="C82" s="1" t="s">
        <v>219</v>
      </c>
      <c r="D82" s="1" t="s">
        <v>220</v>
      </c>
      <c r="E82">
        <f t="shared" si="3"/>
        <v>579.84859156854179</v>
      </c>
      <c r="J82" t="str">
        <v>Bhavnagar</v>
      </c>
    </row>
    <row r="83" spans="1:10" x14ac:dyDescent="0.2">
      <c r="A83" t="s">
        <v>189</v>
      </c>
      <c r="B83" t="s">
        <v>221</v>
      </c>
      <c r="C83" s="1" t="s">
        <v>222</v>
      </c>
      <c r="D83" s="1" t="s">
        <v>223</v>
      </c>
      <c r="E83">
        <f t="shared" si="3"/>
        <v>840.31381091870651</v>
      </c>
      <c r="J83" t="str">
        <v>Dahod</v>
      </c>
    </row>
    <row r="84" spans="1:10" x14ac:dyDescent="0.2">
      <c r="A84" t="s">
        <v>189</v>
      </c>
      <c r="B84" t="s">
        <v>224</v>
      </c>
      <c r="C84" s="1" t="s">
        <v>225</v>
      </c>
      <c r="D84">
        <v>84.920812448132807</v>
      </c>
      <c r="E84">
        <f t="shared" si="3"/>
        <v>705.96653568244244</v>
      </c>
      <c r="J84" t="str">
        <v>Gandhinagar</v>
      </c>
    </row>
    <row r="85" spans="1:10" x14ac:dyDescent="0.2">
      <c r="A85" t="s">
        <v>189</v>
      </c>
      <c r="B85" t="s">
        <v>226</v>
      </c>
      <c r="C85" s="1" t="s">
        <v>227</v>
      </c>
      <c r="D85" s="1" t="s">
        <v>228</v>
      </c>
      <c r="E85">
        <f t="shared" si="3"/>
        <v>924.04910580625324</v>
      </c>
      <c r="J85" t="str">
        <v>Jamnagar</v>
      </c>
    </row>
    <row r="86" spans="1:10" x14ac:dyDescent="0.2">
      <c r="A86" t="s">
        <v>189</v>
      </c>
      <c r="B86" t="s">
        <v>229</v>
      </c>
      <c r="C86" s="1" t="s">
        <v>230</v>
      </c>
      <c r="D86" s="1" t="s">
        <v>231</v>
      </c>
      <c r="E86">
        <f t="shared" si="3"/>
        <v>823.3357258651597</v>
      </c>
      <c r="J86" t="str">
        <v>Kachchh</v>
      </c>
    </row>
    <row r="87" spans="1:10" x14ac:dyDescent="0.2">
      <c r="A87" t="s">
        <v>189</v>
      </c>
      <c r="B87" t="s">
        <v>232</v>
      </c>
      <c r="C87" s="1" t="s">
        <v>233</v>
      </c>
      <c r="D87" s="1" t="s">
        <v>234</v>
      </c>
      <c r="E87">
        <f t="shared" si="3"/>
        <v>914.59022191454937</v>
      </c>
      <c r="J87" t="str">
        <v>Kheda</v>
      </c>
    </row>
    <row r="88" spans="1:10" x14ac:dyDescent="0.2">
      <c r="A88" t="s">
        <v>189</v>
      </c>
      <c r="B88" t="s">
        <v>235</v>
      </c>
      <c r="C88" s="1" t="s">
        <v>236</v>
      </c>
      <c r="D88" s="1" t="s">
        <v>237</v>
      </c>
      <c r="E88">
        <f t="shared" si="3"/>
        <v>804.78154743880361</v>
      </c>
      <c r="J88" t="str">
        <v>Mahesana</v>
      </c>
    </row>
    <row r="89" spans="1:10" x14ac:dyDescent="0.2">
      <c r="A89" t="s">
        <v>189</v>
      </c>
      <c r="B89" t="s">
        <v>238</v>
      </c>
      <c r="C89" s="1" t="s">
        <v>239</v>
      </c>
      <c r="D89">
        <v>86.897844398340297</v>
      </c>
      <c r="E89">
        <f t="shared" si="3"/>
        <v>841.07775702872038</v>
      </c>
      <c r="J89" t="str">
        <v>Narmada</v>
      </c>
    </row>
    <row r="90" spans="1:10" x14ac:dyDescent="0.2">
      <c r="A90" t="s">
        <v>189</v>
      </c>
      <c r="B90" t="s">
        <v>240</v>
      </c>
      <c r="C90" s="1" t="s">
        <v>241</v>
      </c>
      <c r="D90" s="1" t="s">
        <v>242</v>
      </c>
      <c r="E90">
        <f t="shared" si="3"/>
        <v>744.96639804591598</v>
      </c>
      <c r="J90" t="str">
        <v>Navsari</v>
      </c>
    </row>
    <row r="91" spans="1:10" x14ac:dyDescent="0.2">
      <c r="A91" t="s">
        <v>189</v>
      </c>
      <c r="B91" t="s">
        <v>243</v>
      </c>
      <c r="C91" s="1" t="s">
        <v>244</v>
      </c>
      <c r="D91" s="1" t="s">
        <v>245</v>
      </c>
      <c r="E91">
        <f t="shared" si="3"/>
        <v>839.53476140255248</v>
      </c>
      <c r="J91" t="str">
        <v>Panch Mahals</v>
      </c>
    </row>
    <row r="92" spans="1:10" x14ac:dyDescent="0.2">
      <c r="A92" t="s">
        <v>189</v>
      </c>
      <c r="B92" t="s">
        <v>246</v>
      </c>
      <c r="C92" s="1" t="s">
        <v>247</v>
      </c>
      <c r="D92" s="1" t="s">
        <v>248</v>
      </c>
      <c r="E92">
        <f t="shared" si="3"/>
        <v>679.97921503172756</v>
      </c>
      <c r="J92" t="str">
        <v>Patan</v>
      </c>
    </row>
    <row r="93" spans="1:10" x14ac:dyDescent="0.2">
      <c r="A93" t="s">
        <v>189</v>
      </c>
      <c r="B93" t="s">
        <v>249</v>
      </c>
      <c r="C93" s="1" t="s">
        <v>250</v>
      </c>
      <c r="D93" s="1" t="s">
        <v>251</v>
      </c>
      <c r="E93">
        <f t="shared" si="3"/>
        <v>747.24503323434817</v>
      </c>
      <c r="J93" t="str">
        <v>Rajkot</v>
      </c>
    </row>
    <row r="94" spans="1:10" x14ac:dyDescent="0.2">
      <c r="A94" t="s">
        <v>189</v>
      </c>
      <c r="B94" t="s">
        <v>252</v>
      </c>
      <c r="C94" s="1" t="s">
        <v>253</v>
      </c>
      <c r="D94" s="1" t="s">
        <v>254</v>
      </c>
      <c r="E94">
        <f t="shared" si="3"/>
        <v>784.14038391692293</v>
      </c>
      <c r="J94" t="str">
        <v>Sabar Kantha</v>
      </c>
    </row>
    <row r="95" spans="1:10" x14ac:dyDescent="0.2">
      <c r="A95" t="s">
        <v>189</v>
      </c>
      <c r="B95" t="s">
        <v>255</v>
      </c>
      <c r="C95" s="1" t="s">
        <v>256</v>
      </c>
      <c r="D95" s="1" t="s">
        <v>257</v>
      </c>
      <c r="E95">
        <f t="shared" si="3"/>
        <v>542.61520698100855</v>
      </c>
      <c r="J95" t="str">
        <v>Surat</v>
      </c>
    </row>
    <row r="96" spans="1:10" x14ac:dyDescent="0.2">
      <c r="A96" t="s">
        <v>189</v>
      </c>
      <c r="B96" t="s">
        <v>258</v>
      </c>
      <c r="C96" s="1" t="s">
        <v>259</v>
      </c>
      <c r="D96">
        <v>85.319843358778698</v>
      </c>
      <c r="E96">
        <f t="shared" si="3"/>
        <v>723.11792553101088</v>
      </c>
      <c r="J96" t="str">
        <v>Surendranagar</v>
      </c>
    </row>
    <row r="97" spans="1:10" x14ac:dyDescent="0.2">
      <c r="A97" t="s">
        <v>189</v>
      </c>
      <c r="B97" t="s">
        <v>260</v>
      </c>
      <c r="C97" s="1" t="s">
        <v>261</v>
      </c>
      <c r="D97" s="1" t="s">
        <v>262</v>
      </c>
      <c r="E97">
        <f t="shared" si="3"/>
        <v>627.25464200912984</v>
      </c>
      <c r="J97" t="str">
        <v>The Dangs</v>
      </c>
    </row>
    <row r="98" spans="1:10" x14ac:dyDescent="0.2">
      <c r="A98" t="s">
        <v>189</v>
      </c>
      <c r="B98" t="s">
        <v>263</v>
      </c>
      <c r="C98" s="1" t="s">
        <v>264</v>
      </c>
      <c r="D98" s="1" t="s">
        <v>265</v>
      </c>
      <c r="E98">
        <f t="shared" si="3"/>
        <v>885.05906662626637</v>
      </c>
      <c r="J98" t="str">
        <v>Vadodara</v>
      </c>
    </row>
    <row r="99" spans="1:10" x14ac:dyDescent="0.2">
      <c r="A99" t="s">
        <v>189</v>
      </c>
      <c r="B99" t="s">
        <v>266</v>
      </c>
      <c r="C99" s="1" t="s">
        <v>267</v>
      </c>
      <c r="D99">
        <v>83.935076267281104</v>
      </c>
      <c r="E99">
        <f t="shared" si="3"/>
        <v>641.1839005211948</v>
      </c>
      <c r="J99" t="str">
        <v>Valsad</v>
      </c>
    </row>
    <row r="100" spans="1:10" x14ac:dyDescent="0.2">
      <c r="A100" t="s">
        <v>189</v>
      </c>
      <c r="B100" t="s">
        <v>268</v>
      </c>
      <c r="C100" s="1" t="s">
        <v>269</v>
      </c>
      <c r="D100" s="1" t="s">
        <v>270</v>
      </c>
      <c r="E100">
        <f t="shared" si="3"/>
        <v>807.12850123116164</v>
      </c>
      <c r="J100" t="str">
        <v>Ambala</v>
      </c>
    </row>
    <row r="101" spans="1:10" x14ac:dyDescent="0.2">
      <c r="A101" t="s">
        <v>189</v>
      </c>
      <c r="B101" t="s">
        <v>271</v>
      </c>
      <c r="C101" s="1" t="s">
        <v>272</v>
      </c>
      <c r="D101" s="1" t="s">
        <v>273</v>
      </c>
      <c r="E101">
        <f t="shared" si="3"/>
        <v>755.24100347980084</v>
      </c>
      <c r="J101" t="str">
        <v>Bhiwani</v>
      </c>
    </row>
    <row r="102" spans="1:10" x14ac:dyDescent="0.2">
      <c r="A102" t="s">
        <v>189</v>
      </c>
      <c r="B102" t="s">
        <v>274</v>
      </c>
      <c r="C102" s="1" t="s">
        <v>275</v>
      </c>
      <c r="D102" s="1" t="s">
        <v>276</v>
      </c>
      <c r="E102">
        <f t="shared" si="3"/>
        <v>651.66648578183492</v>
      </c>
      <c r="J102" t="str">
        <v>Faridabad</v>
      </c>
    </row>
    <row r="103" spans="1:10" x14ac:dyDescent="0.2">
      <c r="A103" t="s">
        <v>189</v>
      </c>
      <c r="B103" t="s">
        <v>277</v>
      </c>
      <c r="C103" s="1" t="s">
        <v>278</v>
      </c>
      <c r="D103" s="1" t="s">
        <v>279</v>
      </c>
      <c r="E103">
        <f t="shared" si="3"/>
        <v>778.64499914696592</v>
      </c>
      <c r="J103" t="str">
        <v>Fatehabad</v>
      </c>
    </row>
    <row r="104" spans="1:10" x14ac:dyDescent="0.2">
      <c r="A104" t="s">
        <v>189</v>
      </c>
      <c r="B104" t="s">
        <v>280</v>
      </c>
      <c r="C104" s="1" t="s">
        <v>281</v>
      </c>
      <c r="D104" s="1" t="s">
        <v>282</v>
      </c>
      <c r="E104">
        <f t="shared" si="3"/>
        <v>663.8849660906734</v>
      </c>
      <c r="J104" t="str">
        <v>Gurgaon</v>
      </c>
    </row>
    <row r="105" spans="1:10" x14ac:dyDescent="0.2">
      <c r="A105" t="s">
        <v>189</v>
      </c>
      <c r="B105" t="s">
        <v>283</v>
      </c>
      <c r="C105" s="1" t="s">
        <v>284</v>
      </c>
      <c r="D105" s="1" t="s">
        <v>285</v>
      </c>
      <c r="E105">
        <f t="shared" si="3"/>
        <v>687.82580838707474</v>
      </c>
      <c r="J105" t="str">
        <v>Hisar</v>
      </c>
    </row>
    <row r="106" spans="1:10" x14ac:dyDescent="0.2">
      <c r="A106" t="s">
        <v>189</v>
      </c>
      <c r="B106" t="s">
        <v>286</v>
      </c>
      <c r="C106">
        <v>26.173637201365199</v>
      </c>
      <c r="D106" s="1" t="s">
        <v>287</v>
      </c>
      <c r="E106">
        <f t="shared" si="3"/>
        <v>594.25857164577099</v>
      </c>
      <c r="J106" t="str">
        <v>Jhajjar</v>
      </c>
    </row>
    <row r="107" spans="1:10" x14ac:dyDescent="0.2">
      <c r="A107" t="s">
        <v>189</v>
      </c>
      <c r="B107" t="s">
        <v>288</v>
      </c>
      <c r="C107" s="1" t="s">
        <v>289</v>
      </c>
      <c r="D107" s="1" t="s">
        <v>290</v>
      </c>
      <c r="E107">
        <f t="shared" si="3"/>
        <v>807.81948784232384</v>
      </c>
      <c r="J107" t="str">
        <v>Jind</v>
      </c>
    </row>
    <row r="108" spans="1:10" x14ac:dyDescent="0.2">
      <c r="A108" t="s">
        <v>189</v>
      </c>
      <c r="B108" t="s">
        <v>291</v>
      </c>
      <c r="C108">
        <v>25.813470318021199</v>
      </c>
      <c r="D108" s="1" t="s">
        <v>292</v>
      </c>
      <c r="E108">
        <f t="shared" si="3"/>
        <v>705.45911116278251</v>
      </c>
      <c r="J108" t="str">
        <v>Kaithal</v>
      </c>
    </row>
    <row r="109" spans="1:10" x14ac:dyDescent="0.2">
      <c r="A109" t="s">
        <v>293</v>
      </c>
      <c r="B109" t="s">
        <v>293</v>
      </c>
      <c r="C109">
        <v>30.742599999999999</v>
      </c>
      <c r="D109" s="1" t="s">
        <v>294</v>
      </c>
      <c r="E109">
        <f t="shared" si="3"/>
        <v>310.77063487181499</v>
      </c>
      <c r="J109" t="str">
        <v>Karnal</v>
      </c>
    </row>
    <row r="110" spans="1:10" x14ac:dyDescent="0.2">
      <c r="A110" t="s">
        <v>295</v>
      </c>
      <c r="B110" t="s">
        <v>296</v>
      </c>
      <c r="C110" s="1" t="s">
        <v>297</v>
      </c>
      <c r="D110" s="1" t="s">
        <v>298</v>
      </c>
      <c r="E110">
        <f t="shared" si="3"/>
        <v>1077.7572567251339</v>
      </c>
      <c r="J110" t="str">
        <v>Kurukshetra</v>
      </c>
    </row>
    <row r="111" spans="1:10" x14ac:dyDescent="0.2">
      <c r="A111" t="s">
        <v>295</v>
      </c>
      <c r="B111" t="s">
        <v>299</v>
      </c>
      <c r="C111" s="1" t="s">
        <v>300</v>
      </c>
      <c r="D111" s="1" t="s">
        <v>301</v>
      </c>
      <c r="E111">
        <f t="shared" si="3"/>
        <v>776.00471448092992</v>
      </c>
      <c r="J111" t="str">
        <v>Mahendragarh</v>
      </c>
    </row>
    <row r="112" spans="1:10" x14ac:dyDescent="0.2">
      <c r="A112" t="s">
        <v>295</v>
      </c>
      <c r="B112" t="s">
        <v>302</v>
      </c>
      <c r="C112" s="1" t="s">
        <v>303</v>
      </c>
      <c r="D112" s="1" t="s">
        <v>304</v>
      </c>
      <c r="E112">
        <f t="shared" si="3"/>
        <v>1149.2221050501071</v>
      </c>
      <c r="J112" t="str">
        <v>Panchkula</v>
      </c>
    </row>
    <row r="113" spans="1:10" x14ac:dyDescent="0.2">
      <c r="A113" t="s">
        <v>295</v>
      </c>
      <c r="B113" t="s">
        <v>305</v>
      </c>
      <c r="C113" s="1" t="s">
        <v>306</v>
      </c>
      <c r="D113">
        <v>81.7569195519348</v>
      </c>
      <c r="E113">
        <f t="shared" si="3"/>
        <v>958.37728152507589</v>
      </c>
      <c r="J113" t="str">
        <v>Panipat</v>
      </c>
    </row>
    <row r="114" spans="1:10" x14ac:dyDescent="0.2">
      <c r="A114" t="s">
        <v>295</v>
      </c>
      <c r="B114" t="s">
        <v>307</v>
      </c>
      <c r="C114" s="1" t="s">
        <v>308</v>
      </c>
      <c r="D114" s="1" t="s">
        <v>309</v>
      </c>
      <c r="E114">
        <f t="shared" si="3"/>
        <v>878.2533232685671</v>
      </c>
      <c r="J114" t="str">
        <v>Rewari</v>
      </c>
    </row>
    <row r="115" spans="1:10" x14ac:dyDescent="0.2">
      <c r="A115" t="s">
        <v>295</v>
      </c>
      <c r="B115" t="s">
        <v>310</v>
      </c>
      <c r="C115" s="1" t="s">
        <v>311</v>
      </c>
      <c r="D115" s="1" t="s">
        <v>312</v>
      </c>
      <c r="E115">
        <f t="shared" si="3"/>
        <v>849.2784421256539</v>
      </c>
      <c r="J115" t="str">
        <v>Rohtak</v>
      </c>
    </row>
    <row r="116" spans="1:10" x14ac:dyDescent="0.2">
      <c r="A116" t="s">
        <v>295</v>
      </c>
      <c r="B116" t="s">
        <v>313</v>
      </c>
      <c r="C116" s="1" t="s">
        <v>314</v>
      </c>
      <c r="D116">
        <v>83.870396207584804</v>
      </c>
      <c r="E116">
        <f t="shared" si="3"/>
        <v>825.07137325016333</v>
      </c>
      <c r="J116" t="str">
        <v>Sirsa</v>
      </c>
    </row>
    <row r="117" spans="1:10" x14ac:dyDescent="0.2">
      <c r="A117" t="s">
        <v>295</v>
      </c>
      <c r="B117" t="s">
        <v>315</v>
      </c>
      <c r="C117" s="1" t="s">
        <v>316</v>
      </c>
      <c r="D117" s="1" t="s">
        <v>317</v>
      </c>
      <c r="E117">
        <f t="shared" si="3"/>
        <v>986.67958823188974</v>
      </c>
      <c r="J117" t="str">
        <v>Sonepat</v>
      </c>
    </row>
    <row r="118" spans="1:10" x14ac:dyDescent="0.2">
      <c r="A118" t="s">
        <v>295</v>
      </c>
      <c r="B118" t="s">
        <v>318</v>
      </c>
      <c r="C118" s="1" t="s">
        <v>319</v>
      </c>
      <c r="D118" s="1" t="s">
        <v>320</v>
      </c>
      <c r="E118">
        <f t="shared" si="3"/>
        <v>781.99958487151764</v>
      </c>
      <c r="J118" t="str">
        <v>Yamuna Nagar</v>
      </c>
    </row>
    <row r="119" spans="1:10" x14ac:dyDescent="0.2">
      <c r="A119" t="s">
        <v>295</v>
      </c>
      <c r="B119" t="s">
        <v>321</v>
      </c>
      <c r="C119" s="1" t="s">
        <v>322</v>
      </c>
      <c r="D119" s="1" t="s">
        <v>323</v>
      </c>
      <c r="E119">
        <f t="shared" si="3"/>
        <v>785.867158985125</v>
      </c>
      <c r="J119" t="str">
        <v>Bilaspur</v>
      </c>
    </row>
    <row r="120" spans="1:10" x14ac:dyDescent="0.2">
      <c r="A120" t="s">
        <v>295</v>
      </c>
      <c r="B120" t="s">
        <v>324</v>
      </c>
      <c r="C120" s="1" t="s">
        <v>325</v>
      </c>
      <c r="D120" s="1" t="s">
        <v>326</v>
      </c>
      <c r="E120">
        <f t="shared" si="3"/>
        <v>664.43681476298957</v>
      </c>
      <c r="J120" t="str">
        <v>Chamba</v>
      </c>
    </row>
    <row r="121" spans="1:10" x14ac:dyDescent="0.2">
      <c r="A121" t="s">
        <v>295</v>
      </c>
      <c r="B121" t="s">
        <v>327</v>
      </c>
      <c r="C121" s="1" t="s">
        <v>328</v>
      </c>
      <c r="D121" s="1" t="s">
        <v>329</v>
      </c>
      <c r="E121">
        <f t="shared" si="3"/>
        <v>918.35648813796718</v>
      </c>
      <c r="J121" t="str">
        <v>Hamirpur</v>
      </c>
    </row>
    <row r="122" spans="1:10" x14ac:dyDescent="0.2">
      <c r="A122" t="s">
        <v>295</v>
      </c>
      <c r="B122" t="s">
        <v>330</v>
      </c>
      <c r="C122" s="1" t="s">
        <v>331</v>
      </c>
      <c r="D122" s="1" t="s">
        <v>332</v>
      </c>
      <c r="E122">
        <f t="shared" si="3"/>
        <v>866.41308969963495</v>
      </c>
      <c r="J122" t="str">
        <v>Kangra</v>
      </c>
    </row>
    <row r="123" spans="1:10" x14ac:dyDescent="0.2">
      <c r="A123" t="s">
        <v>295</v>
      </c>
      <c r="B123" t="s">
        <v>333</v>
      </c>
      <c r="C123" s="1" t="s">
        <v>334</v>
      </c>
      <c r="D123" s="1" t="s">
        <v>335</v>
      </c>
      <c r="E123">
        <f t="shared" si="3"/>
        <v>936.86558203412017</v>
      </c>
      <c r="J123" t="str">
        <v>Kinnaur</v>
      </c>
    </row>
    <row r="124" spans="1:10" x14ac:dyDescent="0.2">
      <c r="A124" t="s">
        <v>295</v>
      </c>
      <c r="B124" t="s">
        <v>336</v>
      </c>
      <c r="C124" s="1" t="s">
        <v>337</v>
      </c>
      <c r="D124" s="1" t="s">
        <v>338</v>
      </c>
      <c r="E124">
        <f t="shared" si="3"/>
        <v>880.7426974807712</v>
      </c>
      <c r="J124" t="str">
        <v>Kullu</v>
      </c>
    </row>
    <row r="125" spans="1:10" x14ac:dyDescent="0.2">
      <c r="A125" t="s">
        <v>295</v>
      </c>
      <c r="B125" t="s">
        <v>339</v>
      </c>
      <c r="C125" s="1" t="s">
        <v>340</v>
      </c>
      <c r="D125" s="1" t="s">
        <v>341</v>
      </c>
      <c r="E125">
        <f t="shared" si="3"/>
        <v>737.77271839680952</v>
      </c>
      <c r="J125" t="str">
        <v>Lahul and Spiti</v>
      </c>
    </row>
    <row r="126" spans="1:10" x14ac:dyDescent="0.2">
      <c r="A126" t="s">
        <v>342</v>
      </c>
      <c r="B126" t="s">
        <v>342</v>
      </c>
      <c r="C126" s="1" t="s">
        <v>343</v>
      </c>
      <c r="D126" s="1" t="s">
        <v>344</v>
      </c>
      <c r="E126">
        <f t="shared" si="3"/>
        <v>1134.5737741192445</v>
      </c>
      <c r="J126" t="str">
        <v>Mandi</v>
      </c>
    </row>
    <row r="127" spans="1:10" x14ac:dyDescent="0.2">
      <c r="A127" t="s">
        <v>345</v>
      </c>
      <c r="B127" t="s">
        <v>346</v>
      </c>
      <c r="C127" s="1" t="s">
        <v>347</v>
      </c>
      <c r="D127">
        <v>72.839236607142894</v>
      </c>
      <c r="E127">
        <f t="shared" si="3"/>
        <v>1128.3002810267362</v>
      </c>
      <c r="J127" t="str">
        <v>Shimla</v>
      </c>
    </row>
    <row r="128" spans="1:10" x14ac:dyDescent="0.2">
      <c r="A128" t="s">
        <v>345</v>
      </c>
      <c r="B128" t="s">
        <v>348</v>
      </c>
      <c r="C128" s="1" t="s">
        <v>349</v>
      </c>
      <c r="D128" s="1" t="s">
        <v>350</v>
      </c>
      <c r="E128">
        <f t="shared" si="3"/>
        <v>1227.8144911292527</v>
      </c>
      <c r="J128" t="str">
        <v>Sirmaur</v>
      </c>
    </row>
    <row r="129" spans="1:10" x14ac:dyDescent="0.2">
      <c r="A129" t="s">
        <v>351</v>
      </c>
      <c r="B129" t="s">
        <v>351</v>
      </c>
      <c r="C129" s="1" t="s">
        <v>352</v>
      </c>
      <c r="D129" s="1" t="s">
        <v>353</v>
      </c>
      <c r="E129">
        <f t="shared" si="3"/>
        <v>194.32122147861654</v>
      </c>
      <c r="J129" t="str">
        <v>Solan</v>
      </c>
    </row>
    <row r="130" spans="1:10" x14ac:dyDescent="0.2">
      <c r="A130" t="s">
        <v>354</v>
      </c>
      <c r="B130" t="s">
        <v>355</v>
      </c>
      <c r="C130" s="1" t="s">
        <v>356</v>
      </c>
      <c r="D130" s="1" t="s">
        <v>357</v>
      </c>
      <c r="E130">
        <f t="shared" si="3"/>
        <v>1574.1200144839786</v>
      </c>
      <c r="J130" t="str">
        <v>Una</v>
      </c>
    </row>
    <row r="131" spans="1:10" x14ac:dyDescent="0.2">
      <c r="A131" t="s">
        <v>354</v>
      </c>
      <c r="B131" t="s">
        <v>358</v>
      </c>
      <c r="C131" s="1" t="s">
        <v>359</v>
      </c>
      <c r="D131">
        <v>73.941792596876994</v>
      </c>
      <c r="E131">
        <f t="shared" si="3"/>
        <v>1606.6180792996415</v>
      </c>
      <c r="J131" t="str">
        <v>Anantnag (Kashmir South)</v>
      </c>
    </row>
    <row r="132" spans="1:10" x14ac:dyDescent="0.2">
      <c r="A132" t="s">
        <v>360</v>
      </c>
      <c r="B132" t="s">
        <v>361</v>
      </c>
      <c r="C132" s="1" t="s">
        <v>362</v>
      </c>
      <c r="D132" s="1" t="s">
        <v>363</v>
      </c>
      <c r="E132">
        <f t="shared" si="3"/>
        <v>975.8633181925627</v>
      </c>
      <c r="J132" t="str">
        <v>Bagdam</v>
      </c>
    </row>
    <row r="133" spans="1:10" x14ac:dyDescent="0.2">
      <c r="A133" t="s">
        <v>360</v>
      </c>
      <c r="B133" t="s">
        <v>364</v>
      </c>
      <c r="C133" s="1" t="s">
        <v>365</v>
      </c>
      <c r="D133" s="1" t="s">
        <v>366</v>
      </c>
      <c r="E133">
        <f t="shared" si="3"/>
        <v>1160.3273230066072</v>
      </c>
      <c r="J133" t="str">
        <v>Baramula (Kashmir North)</v>
      </c>
    </row>
    <row r="134" spans="1:10" x14ac:dyDescent="0.2">
      <c r="A134" t="s">
        <v>360</v>
      </c>
      <c r="B134" t="s">
        <v>367</v>
      </c>
      <c r="C134" s="1" t="s">
        <v>368</v>
      </c>
      <c r="D134" s="1" t="s">
        <v>369</v>
      </c>
      <c r="E134">
        <f t="shared" si="3"/>
        <v>979.23157396349802</v>
      </c>
      <c r="J134" t="str">
        <v>Doda</v>
      </c>
    </row>
    <row r="135" spans="1:10" x14ac:dyDescent="0.2">
      <c r="A135" t="s">
        <v>360</v>
      </c>
      <c r="B135" t="s">
        <v>370</v>
      </c>
      <c r="C135" s="1" t="s">
        <v>371</v>
      </c>
      <c r="D135" s="1" t="s">
        <v>372</v>
      </c>
      <c r="E135">
        <f t="shared" si="3"/>
        <v>876.26505114942643</v>
      </c>
      <c r="J135" t="str">
        <v>Jammu</v>
      </c>
    </row>
    <row r="136" spans="1:10" x14ac:dyDescent="0.2">
      <c r="A136" t="s">
        <v>360</v>
      </c>
      <c r="B136" t="s">
        <v>373</v>
      </c>
      <c r="C136" s="1" t="s">
        <v>374</v>
      </c>
      <c r="D136" s="1" t="s">
        <v>375</v>
      </c>
      <c r="E136">
        <f t="shared" si="3"/>
        <v>1018.12437419158</v>
      </c>
      <c r="J136" t="str">
        <v>Kargil</v>
      </c>
    </row>
    <row r="137" spans="1:10" x14ac:dyDescent="0.2">
      <c r="A137" t="s">
        <v>360</v>
      </c>
      <c r="B137" t="s">
        <v>376</v>
      </c>
      <c r="C137" s="1" t="s">
        <v>377</v>
      </c>
      <c r="D137" s="1" t="s">
        <v>378</v>
      </c>
      <c r="E137">
        <f t="shared" si="3"/>
        <v>1056.1477303201227</v>
      </c>
      <c r="J137" t="str">
        <v>Kathua</v>
      </c>
    </row>
    <row r="138" spans="1:10" x14ac:dyDescent="0.2">
      <c r="A138" t="s">
        <v>360</v>
      </c>
      <c r="B138" t="s">
        <v>379</v>
      </c>
      <c r="C138" s="1" t="s">
        <v>380</v>
      </c>
      <c r="D138" s="1" t="s">
        <v>381</v>
      </c>
      <c r="E138">
        <f t="shared" ref="E138:E201" si="4">(6371*2*ASIN(SQRT(SIN((RADIANS($K$3-C138))/2)^2+COS(RADIANS(C138))*COS(RADIANS($K$3))*SIN((RADIANS($K$4-D138))/2)^2)))</f>
        <v>835.01392008626374</v>
      </c>
      <c r="J138" t="str">
        <v>Kupwara (Muzaffarabad)</v>
      </c>
    </row>
    <row r="139" spans="1:10" x14ac:dyDescent="0.2">
      <c r="A139" t="s">
        <v>360</v>
      </c>
      <c r="B139" t="s">
        <v>382</v>
      </c>
      <c r="C139" s="1" t="s">
        <v>383</v>
      </c>
      <c r="D139" s="1" t="s">
        <v>384</v>
      </c>
      <c r="E139">
        <f t="shared" si="4"/>
        <v>897.95224459258952</v>
      </c>
      <c r="J139" t="str">
        <v>Ladakh (Leh)</v>
      </c>
    </row>
    <row r="140" spans="1:10" x14ac:dyDescent="0.2">
      <c r="A140" t="s">
        <v>360</v>
      </c>
      <c r="B140" t="s">
        <v>385</v>
      </c>
      <c r="C140" s="1" t="s">
        <v>386</v>
      </c>
      <c r="D140" s="1" t="s">
        <v>387</v>
      </c>
      <c r="E140">
        <f t="shared" si="4"/>
        <v>1188.7237638145266</v>
      </c>
      <c r="J140" t="str">
        <v>Pulwama</v>
      </c>
    </row>
    <row r="141" spans="1:10" x14ac:dyDescent="0.2">
      <c r="A141" t="s">
        <v>360</v>
      </c>
      <c r="B141" t="s">
        <v>348</v>
      </c>
      <c r="C141" s="1" t="s">
        <v>388</v>
      </c>
      <c r="D141" s="1" t="s">
        <v>389</v>
      </c>
      <c r="E141">
        <f t="shared" si="4"/>
        <v>1231.2843143535927</v>
      </c>
      <c r="J141" t="str">
        <v>Punch</v>
      </c>
    </row>
    <row r="142" spans="1:10" x14ac:dyDescent="0.2">
      <c r="A142" t="s">
        <v>360</v>
      </c>
      <c r="B142" t="s">
        <v>390</v>
      </c>
      <c r="C142" s="1" t="s">
        <v>391</v>
      </c>
      <c r="D142" s="1" t="s">
        <v>392</v>
      </c>
      <c r="E142">
        <f t="shared" si="4"/>
        <v>1186.0040367545014</v>
      </c>
      <c r="J142" t="str">
        <v>Rajauri</v>
      </c>
    </row>
    <row r="143" spans="1:10" x14ac:dyDescent="0.2">
      <c r="A143" t="s">
        <v>360</v>
      </c>
      <c r="B143" t="s">
        <v>393</v>
      </c>
      <c r="C143" s="1" t="s">
        <v>394</v>
      </c>
      <c r="D143">
        <v>73.018803515624995</v>
      </c>
      <c r="E143">
        <f t="shared" si="4"/>
        <v>898.76139022475456</v>
      </c>
      <c r="J143" t="str">
        <v>Srinagar</v>
      </c>
    </row>
    <row r="144" spans="1:10" x14ac:dyDescent="0.2">
      <c r="A144" t="s">
        <v>360</v>
      </c>
      <c r="B144" t="s">
        <v>395</v>
      </c>
      <c r="C144" s="1" t="s">
        <v>396</v>
      </c>
      <c r="D144" s="1" t="s">
        <v>397</v>
      </c>
      <c r="E144">
        <f t="shared" si="4"/>
        <v>887.69024521240442</v>
      </c>
      <c r="J144" t="str">
        <v>Udhampur</v>
      </c>
    </row>
    <row r="145" spans="1:10" x14ac:dyDescent="0.2">
      <c r="A145" t="s">
        <v>360</v>
      </c>
      <c r="B145" t="s">
        <v>398</v>
      </c>
      <c r="C145" s="1" t="s">
        <v>399</v>
      </c>
      <c r="D145" s="1" t="s">
        <v>400</v>
      </c>
      <c r="E145">
        <f t="shared" si="4"/>
        <v>961.66523805088309</v>
      </c>
      <c r="J145" t="str">
        <v>Bokaro</v>
      </c>
    </row>
    <row r="146" spans="1:10" x14ac:dyDescent="0.2">
      <c r="A146" t="s">
        <v>360</v>
      </c>
      <c r="B146" t="s">
        <v>401</v>
      </c>
      <c r="C146" s="1" t="s">
        <v>402</v>
      </c>
      <c r="D146" s="1" t="s">
        <v>403</v>
      </c>
      <c r="E146">
        <f t="shared" si="4"/>
        <v>1086.6460117616939</v>
      </c>
      <c r="J146" t="str">
        <v>Chatra</v>
      </c>
    </row>
    <row r="147" spans="1:10" x14ac:dyDescent="0.2">
      <c r="A147" t="s">
        <v>360</v>
      </c>
      <c r="B147" t="s">
        <v>404</v>
      </c>
      <c r="C147" s="1" t="s">
        <v>405</v>
      </c>
      <c r="D147" s="1" t="s">
        <v>406</v>
      </c>
      <c r="E147">
        <f t="shared" si="4"/>
        <v>866.45400577949806</v>
      </c>
      <c r="J147" t="str">
        <v>Deoghar</v>
      </c>
    </row>
    <row r="148" spans="1:10" x14ac:dyDescent="0.2">
      <c r="A148" t="s">
        <v>360</v>
      </c>
      <c r="B148" t="s">
        <v>407</v>
      </c>
      <c r="C148" s="1" t="s">
        <v>408</v>
      </c>
      <c r="D148" s="1" t="s">
        <v>409</v>
      </c>
      <c r="E148">
        <f t="shared" si="4"/>
        <v>921.64762551305228</v>
      </c>
      <c r="J148" t="str">
        <v>Dhanbad</v>
      </c>
    </row>
    <row r="149" spans="1:10" x14ac:dyDescent="0.2">
      <c r="A149" t="s">
        <v>360</v>
      </c>
      <c r="B149" t="s">
        <v>410</v>
      </c>
      <c r="C149" s="1" t="s">
        <v>411</v>
      </c>
      <c r="D149" s="1" t="s">
        <v>412</v>
      </c>
      <c r="E149">
        <f t="shared" si="4"/>
        <v>1243.3915351909509</v>
      </c>
      <c r="J149" t="str">
        <v>Dumka</v>
      </c>
    </row>
    <row r="150" spans="1:10" x14ac:dyDescent="0.2">
      <c r="A150" t="s">
        <v>360</v>
      </c>
      <c r="B150" t="s">
        <v>413</v>
      </c>
      <c r="C150" s="1" t="s">
        <v>414</v>
      </c>
      <c r="D150" s="1" t="s">
        <v>415</v>
      </c>
      <c r="E150">
        <f t="shared" si="4"/>
        <v>1094.1730429650172</v>
      </c>
      <c r="J150" t="str">
        <v>Garhwa</v>
      </c>
    </row>
    <row r="151" spans="1:10" x14ac:dyDescent="0.2">
      <c r="A151" t="s">
        <v>360</v>
      </c>
      <c r="B151" t="s">
        <v>416</v>
      </c>
      <c r="C151" s="1" t="s">
        <v>417</v>
      </c>
      <c r="D151" s="1" t="s">
        <v>418</v>
      </c>
      <c r="E151">
        <f t="shared" si="4"/>
        <v>823.20309403210206</v>
      </c>
      <c r="J151" t="str">
        <v>Giridih</v>
      </c>
    </row>
    <row r="152" spans="1:10" x14ac:dyDescent="0.2">
      <c r="A152" t="s">
        <v>360</v>
      </c>
      <c r="B152" t="s">
        <v>419</v>
      </c>
      <c r="C152" s="1" t="s">
        <v>420</v>
      </c>
      <c r="D152" s="1" t="s">
        <v>421</v>
      </c>
      <c r="E152">
        <f t="shared" si="4"/>
        <v>1046.6112054482528</v>
      </c>
      <c r="J152" t="str">
        <v>Godda</v>
      </c>
    </row>
    <row r="153" spans="1:10" x14ac:dyDescent="0.2">
      <c r="A153" t="s">
        <v>360</v>
      </c>
      <c r="B153" t="s">
        <v>422</v>
      </c>
      <c r="C153" s="1" t="s">
        <v>423</v>
      </c>
      <c r="D153" s="1" t="s">
        <v>424</v>
      </c>
      <c r="E153">
        <f t="shared" si="4"/>
        <v>1013.646496957757</v>
      </c>
      <c r="J153" t="str">
        <v>Gumla</v>
      </c>
    </row>
    <row r="154" spans="1:10" x14ac:dyDescent="0.2">
      <c r="A154" t="s">
        <v>360</v>
      </c>
      <c r="B154" t="s">
        <v>425</v>
      </c>
      <c r="C154" s="1" t="s">
        <v>426</v>
      </c>
      <c r="D154">
        <v>73.688351836734697</v>
      </c>
      <c r="E154">
        <f t="shared" si="4"/>
        <v>1046.8847017726928</v>
      </c>
      <c r="J154" t="str">
        <v>Hazaribag</v>
      </c>
    </row>
    <row r="155" spans="1:10" x14ac:dyDescent="0.2">
      <c r="A155" t="s">
        <v>360</v>
      </c>
      <c r="B155" t="s">
        <v>427</v>
      </c>
      <c r="C155" s="1" t="s">
        <v>428</v>
      </c>
      <c r="D155" s="1" t="s">
        <v>429</v>
      </c>
      <c r="E155">
        <f t="shared" si="4"/>
        <v>922.29459014298925</v>
      </c>
      <c r="J155" t="str">
        <v>Jamtara</v>
      </c>
    </row>
    <row r="156" spans="1:10" x14ac:dyDescent="0.2">
      <c r="A156" t="s">
        <v>360</v>
      </c>
      <c r="B156" t="s">
        <v>430</v>
      </c>
      <c r="C156" s="1" t="s">
        <v>431</v>
      </c>
      <c r="D156">
        <v>72.914858479834507</v>
      </c>
      <c r="E156">
        <f t="shared" si="4"/>
        <v>1123.0299733090228</v>
      </c>
      <c r="J156" t="str">
        <v>Koderma</v>
      </c>
    </row>
    <row r="157" spans="1:10" x14ac:dyDescent="0.2">
      <c r="A157" t="s">
        <v>432</v>
      </c>
      <c r="B157" t="s">
        <v>433</v>
      </c>
      <c r="C157" s="1" t="s">
        <v>434</v>
      </c>
      <c r="D157" s="1" t="s">
        <v>435</v>
      </c>
      <c r="E157">
        <f t="shared" si="4"/>
        <v>268.52359292297422</v>
      </c>
      <c r="J157" t="str">
        <v>Latehar</v>
      </c>
    </row>
    <row r="158" spans="1:10" x14ac:dyDescent="0.2">
      <c r="A158" t="s">
        <v>432</v>
      </c>
      <c r="B158" t="s">
        <v>436</v>
      </c>
      <c r="C158" s="1" t="s">
        <v>437</v>
      </c>
      <c r="D158" s="1" t="s">
        <v>438</v>
      </c>
      <c r="E158">
        <f t="shared" si="4"/>
        <v>301.23033129753355</v>
      </c>
      <c r="J158" t="str">
        <v>Lohardaga</v>
      </c>
    </row>
    <row r="159" spans="1:10" x14ac:dyDescent="0.2">
      <c r="A159" t="s">
        <v>432</v>
      </c>
      <c r="B159" t="s">
        <v>439</v>
      </c>
      <c r="C159" s="1" t="s">
        <v>440</v>
      </c>
      <c r="D159" s="1" t="s">
        <v>441</v>
      </c>
      <c r="E159">
        <f t="shared" si="4"/>
        <v>190.0731937185684</v>
      </c>
      <c r="J159" t="str">
        <v>Pakur</v>
      </c>
    </row>
    <row r="160" spans="1:10" x14ac:dyDescent="0.2">
      <c r="A160" t="s">
        <v>432</v>
      </c>
      <c r="B160" t="s">
        <v>442</v>
      </c>
      <c r="C160" s="1" t="s">
        <v>443</v>
      </c>
      <c r="D160" s="1" t="s">
        <v>444</v>
      </c>
      <c r="E160">
        <f t="shared" si="4"/>
        <v>355.54706293715174</v>
      </c>
      <c r="J160" t="str">
        <v>Palamu</v>
      </c>
    </row>
    <row r="161" spans="1:10" x14ac:dyDescent="0.2">
      <c r="A161" t="s">
        <v>432</v>
      </c>
      <c r="B161" t="s">
        <v>445</v>
      </c>
      <c r="C161" s="1" t="s">
        <v>446</v>
      </c>
      <c r="D161" s="1" t="s">
        <v>447</v>
      </c>
      <c r="E161">
        <f t="shared" si="4"/>
        <v>222.40412117238458</v>
      </c>
      <c r="J161" t="str">
        <v>Pashchim Singhbhum</v>
      </c>
    </row>
    <row r="162" spans="1:10" x14ac:dyDescent="0.2">
      <c r="A162" t="s">
        <v>432</v>
      </c>
      <c r="B162" t="s">
        <v>448</v>
      </c>
      <c r="C162" s="1" t="s">
        <v>449</v>
      </c>
      <c r="D162" s="1" t="s">
        <v>450</v>
      </c>
      <c r="E162">
        <f t="shared" si="4"/>
        <v>320.7224914502483</v>
      </c>
      <c r="J162" t="str">
        <v>Purba Singhbhum</v>
      </c>
    </row>
    <row r="163" spans="1:10" x14ac:dyDescent="0.2">
      <c r="A163" t="s">
        <v>432</v>
      </c>
      <c r="B163" t="s">
        <v>451</v>
      </c>
      <c r="C163" s="1" t="s">
        <v>452</v>
      </c>
      <c r="D163" s="1" t="s">
        <v>453</v>
      </c>
      <c r="E163">
        <f t="shared" si="4"/>
        <v>245.04943156402581</v>
      </c>
      <c r="J163" t="str">
        <v>Ranchi</v>
      </c>
    </row>
    <row r="164" spans="1:10" x14ac:dyDescent="0.2">
      <c r="A164" t="s">
        <v>432</v>
      </c>
      <c r="B164" t="s">
        <v>454</v>
      </c>
      <c r="C164" s="1" t="s">
        <v>455</v>
      </c>
      <c r="D164" s="1" t="s">
        <v>456</v>
      </c>
      <c r="E164">
        <f t="shared" si="4"/>
        <v>281.80075005877546</v>
      </c>
      <c r="J164" t="str">
        <v>Sahibganj</v>
      </c>
    </row>
    <row r="165" spans="1:10" x14ac:dyDescent="0.2">
      <c r="A165" t="s">
        <v>432</v>
      </c>
      <c r="B165" t="s">
        <v>457</v>
      </c>
      <c r="C165" s="1" t="s">
        <v>458</v>
      </c>
      <c r="D165" s="1" t="s">
        <v>459</v>
      </c>
      <c r="E165">
        <f t="shared" si="4"/>
        <v>292.95342727393307</v>
      </c>
      <c r="J165" t="str">
        <v>Saraikela Kharsawan</v>
      </c>
    </row>
    <row r="166" spans="1:10" x14ac:dyDescent="0.2">
      <c r="A166" t="s">
        <v>432</v>
      </c>
      <c r="B166" t="s">
        <v>460</v>
      </c>
      <c r="C166" s="1" t="s">
        <v>461</v>
      </c>
      <c r="D166" s="1" t="s">
        <v>462</v>
      </c>
      <c r="E166">
        <f t="shared" si="4"/>
        <v>237.41813794194715</v>
      </c>
      <c r="J166" t="str">
        <v>Simdega</v>
      </c>
    </row>
    <row r="167" spans="1:10" x14ac:dyDescent="0.2">
      <c r="A167" t="s">
        <v>432</v>
      </c>
      <c r="B167" t="s">
        <v>463</v>
      </c>
      <c r="C167" s="1" t="s">
        <v>464</v>
      </c>
      <c r="D167" s="1" t="s">
        <v>465</v>
      </c>
      <c r="E167">
        <f t="shared" si="4"/>
        <v>262.82497766705694</v>
      </c>
      <c r="J167" t="str">
        <v>Bidar</v>
      </c>
    </row>
    <row r="168" spans="1:10" x14ac:dyDescent="0.2">
      <c r="A168" t="s">
        <v>432</v>
      </c>
      <c r="B168" t="s">
        <v>466</v>
      </c>
      <c r="C168">
        <v>28.135216145833301</v>
      </c>
      <c r="D168" s="1" t="s">
        <v>467</v>
      </c>
      <c r="E168">
        <f t="shared" si="4"/>
        <v>300.39916057713953</v>
      </c>
      <c r="J168" t="str">
        <v>Anuppur</v>
      </c>
    </row>
    <row r="169" spans="1:10" x14ac:dyDescent="0.2">
      <c r="A169" t="s">
        <v>432</v>
      </c>
      <c r="B169" t="s">
        <v>468</v>
      </c>
      <c r="C169" s="1" t="s">
        <v>469</v>
      </c>
      <c r="D169" s="1" t="s">
        <v>470</v>
      </c>
      <c r="E169">
        <f t="shared" si="4"/>
        <v>292.82291061741807</v>
      </c>
      <c r="J169" t="str">
        <v>Ashoknagar</v>
      </c>
    </row>
    <row r="170" spans="1:10" x14ac:dyDescent="0.2">
      <c r="A170" t="s">
        <v>432</v>
      </c>
      <c r="B170" t="s">
        <v>471</v>
      </c>
      <c r="C170" s="1" t="s">
        <v>472</v>
      </c>
      <c r="D170" s="1" t="s">
        <v>473</v>
      </c>
      <c r="E170">
        <f t="shared" si="4"/>
        <v>219.39402308043631</v>
      </c>
      <c r="J170" t="str">
        <v>Balaghat</v>
      </c>
    </row>
    <row r="171" spans="1:10" x14ac:dyDescent="0.2">
      <c r="A171" t="s">
        <v>432</v>
      </c>
      <c r="B171" t="s">
        <v>474</v>
      </c>
      <c r="C171" s="1" t="s">
        <v>475</v>
      </c>
      <c r="D171" s="1" t="s">
        <v>476</v>
      </c>
      <c r="E171">
        <f t="shared" si="4"/>
        <v>259.15904236632718</v>
      </c>
      <c r="J171" t="str">
        <v>Barwani</v>
      </c>
    </row>
    <row r="172" spans="1:10" x14ac:dyDescent="0.2">
      <c r="A172" t="s">
        <v>432</v>
      </c>
      <c r="B172" t="s">
        <v>477</v>
      </c>
      <c r="C172" s="1" t="s">
        <v>478</v>
      </c>
      <c r="D172" s="1" t="s">
        <v>479</v>
      </c>
      <c r="E172">
        <f t="shared" si="4"/>
        <v>251.18832601847075</v>
      </c>
      <c r="J172" t="str">
        <v>Betul</v>
      </c>
    </row>
    <row r="173" spans="1:10" x14ac:dyDescent="0.2">
      <c r="A173" t="s">
        <v>432</v>
      </c>
      <c r="B173" t="s">
        <v>480</v>
      </c>
      <c r="C173" s="1" t="s">
        <v>481</v>
      </c>
      <c r="D173" s="1" t="s">
        <v>482</v>
      </c>
      <c r="E173">
        <f t="shared" si="4"/>
        <v>417.19007121051607</v>
      </c>
      <c r="J173" t="str">
        <v>Bhind</v>
      </c>
    </row>
    <row r="174" spans="1:10" x14ac:dyDescent="0.2">
      <c r="A174" t="s">
        <v>432</v>
      </c>
      <c r="B174" t="s">
        <v>483</v>
      </c>
      <c r="C174" s="1" t="s">
        <v>484</v>
      </c>
      <c r="D174" s="1" t="s">
        <v>485</v>
      </c>
      <c r="E174">
        <f t="shared" si="4"/>
        <v>220.74196303988566</v>
      </c>
      <c r="J174" t="str">
        <v>Bhopal</v>
      </c>
    </row>
    <row r="175" spans="1:10" x14ac:dyDescent="0.2">
      <c r="A175" t="s">
        <v>432</v>
      </c>
      <c r="B175" t="s">
        <v>486</v>
      </c>
      <c r="C175" s="1" t="s">
        <v>487</v>
      </c>
      <c r="D175" s="1" t="s">
        <v>488</v>
      </c>
      <c r="E175">
        <f t="shared" si="4"/>
        <v>235.47555745380814</v>
      </c>
      <c r="J175" t="str">
        <v>Burhanpur</v>
      </c>
    </row>
    <row r="176" spans="1:10" x14ac:dyDescent="0.2">
      <c r="A176" t="s">
        <v>489</v>
      </c>
      <c r="B176" t="s">
        <v>299</v>
      </c>
      <c r="C176">
        <v>31.378042290748901</v>
      </c>
      <c r="D176" s="1" t="s">
        <v>490</v>
      </c>
      <c r="E176">
        <f t="shared" si="4"/>
        <v>368.70778877291212</v>
      </c>
      <c r="J176" t="str">
        <v>Chhatarpur</v>
      </c>
    </row>
    <row r="177" spans="1:10" x14ac:dyDescent="0.2">
      <c r="A177" t="s">
        <v>489</v>
      </c>
      <c r="B177" t="s">
        <v>491</v>
      </c>
      <c r="C177" s="1" t="s">
        <v>492</v>
      </c>
      <c r="D177" s="1" t="s">
        <v>493</v>
      </c>
      <c r="E177">
        <f t="shared" si="4"/>
        <v>499.16152328750735</v>
      </c>
      <c r="J177" t="str">
        <v>Chhindwara</v>
      </c>
    </row>
    <row r="178" spans="1:10" x14ac:dyDescent="0.2">
      <c r="A178" t="s">
        <v>489</v>
      </c>
      <c r="B178" t="s">
        <v>494</v>
      </c>
      <c r="C178" s="1" t="s">
        <v>495</v>
      </c>
      <c r="D178" s="1" t="s">
        <v>496</v>
      </c>
      <c r="E178">
        <f t="shared" si="4"/>
        <v>403.65962630148499</v>
      </c>
      <c r="J178" t="str">
        <v>Damoh</v>
      </c>
    </row>
    <row r="179" spans="1:10" x14ac:dyDescent="0.2">
      <c r="A179" t="s">
        <v>489</v>
      </c>
      <c r="B179" t="s">
        <v>497</v>
      </c>
      <c r="C179" s="1" t="s">
        <v>498</v>
      </c>
      <c r="D179" s="1" t="s">
        <v>499</v>
      </c>
      <c r="E179">
        <f t="shared" si="4"/>
        <v>449.58003215441948</v>
      </c>
      <c r="J179" t="str">
        <v>Datia</v>
      </c>
    </row>
    <row r="180" spans="1:10" x14ac:dyDescent="0.2">
      <c r="A180" t="s">
        <v>489</v>
      </c>
      <c r="B180" t="s">
        <v>500</v>
      </c>
      <c r="C180" s="1" t="s">
        <v>501</v>
      </c>
      <c r="D180" s="1" t="s">
        <v>502</v>
      </c>
      <c r="E180">
        <f t="shared" si="4"/>
        <v>313.70665153496537</v>
      </c>
      <c r="J180" t="str">
        <v>Dewas</v>
      </c>
    </row>
    <row r="181" spans="1:10" x14ac:dyDescent="0.2">
      <c r="A181" t="s">
        <v>489</v>
      </c>
      <c r="B181" t="s">
        <v>503</v>
      </c>
      <c r="C181" s="1" t="s">
        <v>504</v>
      </c>
      <c r="D181" s="1" t="s">
        <v>505</v>
      </c>
      <c r="E181">
        <f t="shared" si="4"/>
        <v>379.00097148349903</v>
      </c>
      <c r="J181" t="str">
        <v>Dhar</v>
      </c>
    </row>
    <row r="182" spans="1:10" x14ac:dyDescent="0.2">
      <c r="A182" t="s">
        <v>489</v>
      </c>
      <c r="B182" t="s">
        <v>506</v>
      </c>
      <c r="C182" s="1" t="s">
        <v>507</v>
      </c>
      <c r="D182" s="1" t="s">
        <v>508</v>
      </c>
      <c r="E182">
        <f t="shared" si="4"/>
        <v>433.62341654427439</v>
      </c>
      <c r="J182" t="str">
        <v>Dindori</v>
      </c>
    </row>
    <row r="183" spans="1:10" x14ac:dyDescent="0.2">
      <c r="A183" t="s">
        <v>489</v>
      </c>
      <c r="B183" t="s">
        <v>509</v>
      </c>
      <c r="C183" s="1" t="s">
        <v>510</v>
      </c>
      <c r="D183" s="1" t="s">
        <v>511</v>
      </c>
      <c r="E183">
        <f t="shared" si="4"/>
        <v>373.60892385010368</v>
      </c>
      <c r="J183" t="str">
        <v>East Nimar</v>
      </c>
    </row>
    <row r="184" spans="1:10" x14ac:dyDescent="0.2">
      <c r="A184" t="s">
        <v>489</v>
      </c>
      <c r="B184" t="s">
        <v>512</v>
      </c>
      <c r="C184" s="1" t="s">
        <v>513</v>
      </c>
      <c r="D184" s="1" t="s">
        <v>514</v>
      </c>
      <c r="E184">
        <f t="shared" si="4"/>
        <v>295.22473213499956</v>
      </c>
      <c r="J184" t="str">
        <v>Guna</v>
      </c>
    </row>
    <row r="185" spans="1:10" x14ac:dyDescent="0.2">
      <c r="A185" t="s">
        <v>489</v>
      </c>
      <c r="B185" t="s">
        <v>515</v>
      </c>
      <c r="C185" s="1" t="s">
        <v>516</v>
      </c>
      <c r="D185" s="1" t="s">
        <v>517</v>
      </c>
      <c r="E185">
        <f t="shared" si="4"/>
        <v>261.84312823248075</v>
      </c>
      <c r="J185" t="str">
        <v>Gwalior</v>
      </c>
    </row>
    <row r="186" spans="1:10" x14ac:dyDescent="0.2">
      <c r="A186" t="s">
        <v>489</v>
      </c>
      <c r="B186" t="s">
        <v>518</v>
      </c>
      <c r="C186" s="1" t="s">
        <v>519</v>
      </c>
      <c r="D186" s="1" t="s">
        <v>520</v>
      </c>
      <c r="E186">
        <f t="shared" si="4"/>
        <v>322.03276513498565</v>
      </c>
      <c r="J186" t="str">
        <v>Harda</v>
      </c>
    </row>
    <row r="187" spans="1:10" x14ac:dyDescent="0.2">
      <c r="A187" t="s">
        <v>489</v>
      </c>
      <c r="B187" t="s">
        <v>521</v>
      </c>
      <c r="C187" s="1" t="s">
        <v>522</v>
      </c>
      <c r="D187" s="1" t="s">
        <v>523</v>
      </c>
      <c r="E187">
        <f t="shared" si="4"/>
        <v>415.45191448660739</v>
      </c>
      <c r="J187" t="str">
        <v>Hoshangabad</v>
      </c>
    </row>
    <row r="188" spans="1:10" x14ac:dyDescent="0.2">
      <c r="A188" t="s">
        <v>524</v>
      </c>
      <c r="B188" t="s">
        <v>525</v>
      </c>
      <c r="C188" s="1" t="s">
        <v>526</v>
      </c>
      <c r="D188" s="1" t="s">
        <v>527</v>
      </c>
      <c r="E188">
        <f t="shared" si="4"/>
        <v>656.37698354990187</v>
      </c>
      <c r="J188" t="str">
        <v>Indore</v>
      </c>
    </row>
    <row r="189" spans="1:10" x14ac:dyDescent="0.2">
      <c r="A189" t="s">
        <v>524</v>
      </c>
      <c r="B189" t="s">
        <v>528</v>
      </c>
      <c r="C189" s="1" t="s">
        <v>529</v>
      </c>
      <c r="D189" s="1" t="s">
        <v>530</v>
      </c>
      <c r="E189">
        <f t="shared" si="4"/>
        <v>699.20824319717838</v>
      </c>
      <c r="J189" t="str">
        <v>Jabalpur</v>
      </c>
    </row>
    <row r="190" spans="1:10" x14ac:dyDescent="0.2">
      <c r="A190" t="s">
        <v>524</v>
      </c>
      <c r="B190" t="s">
        <v>531</v>
      </c>
      <c r="C190" s="1" t="s">
        <v>532</v>
      </c>
      <c r="D190" s="1" t="s">
        <v>533</v>
      </c>
      <c r="E190">
        <f t="shared" si="4"/>
        <v>741.47528339336361</v>
      </c>
      <c r="J190" t="str">
        <v>Jhabua</v>
      </c>
    </row>
    <row r="191" spans="1:10" x14ac:dyDescent="0.2">
      <c r="A191" t="s">
        <v>524</v>
      </c>
      <c r="B191" t="s">
        <v>534</v>
      </c>
      <c r="C191" s="1" t="s">
        <v>535</v>
      </c>
      <c r="D191" s="1" t="s">
        <v>536</v>
      </c>
      <c r="E191">
        <f t="shared" si="4"/>
        <v>580.51412910124077</v>
      </c>
      <c r="J191" t="str">
        <v>Katni</v>
      </c>
    </row>
    <row r="192" spans="1:10" x14ac:dyDescent="0.2">
      <c r="A192" t="s">
        <v>524</v>
      </c>
      <c r="B192" t="s">
        <v>537</v>
      </c>
      <c r="C192" s="1" t="s">
        <v>538</v>
      </c>
      <c r="D192">
        <v>74.847752036199097</v>
      </c>
      <c r="E192">
        <f t="shared" si="4"/>
        <v>593.17920599160016</v>
      </c>
      <c r="J192" t="str">
        <v>Mandla</v>
      </c>
    </row>
    <row r="193" spans="1:10" x14ac:dyDescent="0.2">
      <c r="A193" t="s">
        <v>524</v>
      </c>
      <c r="B193" t="s">
        <v>539</v>
      </c>
      <c r="C193" s="1" t="s">
        <v>540</v>
      </c>
      <c r="D193" s="1" t="s">
        <v>541</v>
      </c>
      <c r="E193">
        <f t="shared" si="4"/>
        <v>576.4537060247535</v>
      </c>
      <c r="J193" t="str">
        <v>Mandsaur</v>
      </c>
    </row>
    <row r="194" spans="1:10" x14ac:dyDescent="0.2">
      <c r="A194" t="s">
        <v>524</v>
      </c>
      <c r="B194" t="s">
        <v>542</v>
      </c>
      <c r="C194" s="1" t="s">
        <v>543</v>
      </c>
      <c r="D194" s="1" t="s">
        <v>544</v>
      </c>
      <c r="E194">
        <f t="shared" si="4"/>
        <v>530.29796933133241</v>
      </c>
      <c r="J194" t="str">
        <v>Morena</v>
      </c>
    </row>
    <row r="195" spans="1:10" x14ac:dyDescent="0.2">
      <c r="A195" t="s">
        <v>524</v>
      </c>
      <c r="B195" t="s">
        <v>545</v>
      </c>
      <c r="C195" s="1" t="s">
        <v>546</v>
      </c>
      <c r="D195" s="1" t="s">
        <v>547</v>
      </c>
      <c r="E195">
        <f t="shared" si="4"/>
        <v>790.60034566792103</v>
      </c>
      <c r="J195" t="str">
        <v>Narsinghpur</v>
      </c>
    </row>
    <row r="196" spans="1:10" x14ac:dyDescent="0.2">
      <c r="A196" t="s">
        <v>524</v>
      </c>
      <c r="B196" t="s">
        <v>548</v>
      </c>
      <c r="C196" s="1" t="s">
        <v>549</v>
      </c>
      <c r="D196" s="1" t="s">
        <v>550</v>
      </c>
      <c r="E196">
        <f t="shared" si="4"/>
        <v>534.02316641906123</v>
      </c>
      <c r="J196" t="str">
        <v>Neemuch</v>
      </c>
    </row>
    <row r="197" spans="1:10" x14ac:dyDescent="0.2">
      <c r="A197" t="s">
        <v>524</v>
      </c>
      <c r="B197" t="s">
        <v>551</v>
      </c>
      <c r="C197" s="1" t="s">
        <v>552</v>
      </c>
      <c r="D197" s="1" t="s">
        <v>553</v>
      </c>
      <c r="E197">
        <f t="shared" si="4"/>
        <v>683.30641785297894</v>
      </c>
      <c r="J197" t="str">
        <v>Panna</v>
      </c>
    </row>
    <row r="198" spans="1:10" x14ac:dyDescent="0.2">
      <c r="A198" t="s">
        <v>524</v>
      </c>
      <c r="B198" t="s">
        <v>554</v>
      </c>
      <c r="C198" s="1" t="s">
        <v>555</v>
      </c>
      <c r="D198" s="1" t="s">
        <v>556</v>
      </c>
      <c r="E198">
        <f t="shared" si="4"/>
        <v>716.14250241723948</v>
      </c>
      <c r="J198" t="str">
        <v>Raisen</v>
      </c>
    </row>
    <row r="199" spans="1:10" x14ac:dyDescent="0.2">
      <c r="A199" t="s">
        <v>524</v>
      </c>
      <c r="B199" t="s">
        <v>557</v>
      </c>
      <c r="C199" s="1" t="s">
        <v>558</v>
      </c>
      <c r="D199" s="1" t="s">
        <v>559</v>
      </c>
      <c r="E199">
        <f t="shared" si="4"/>
        <v>666.42237800047474</v>
      </c>
      <c r="J199" t="str">
        <v>Rajgarh</v>
      </c>
    </row>
    <row r="200" spans="1:10" x14ac:dyDescent="0.2">
      <c r="A200" t="s">
        <v>524</v>
      </c>
      <c r="B200" t="s">
        <v>560</v>
      </c>
      <c r="C200" s="1" t="s">
        <v>561</v>
      </c>
      <c r="D200" s="1" t="s">
        <v>562</v>
      </c>
      <c r="E200">
        <f t="shared" si="4"/>
        <v>713.7064361915601</v>
      </c>
      <c r="J200" t="str">
        <v>Ratlam</v>
      </c>
    </row>
    <row r="201" spans="1:10" x14ac:dyDescent="0.2">
      <c r="A201" t="s">
        <v>524</v>
      </c>
      <c r="B201" t="s">
        <v>563</v>
      </c>
      <c r="C201" s="1" t="s">
        <v>564</v>
      </c>
      <c r="D201" s="1" t="s">
        <v>565</v>
      </c>
      <c r="E201">
        <f t="shared" si="4"/>
        <v>601.63211933398009</v>
      </c>
      <c r="J201" t="str">
        <v>Rewa</v>
      </c>
    </row>
    <row r="202" spans="1:10" x14ac:dyDescent="0.2">
      <c r="A202" t="s">
        <v>566</v>
      </c>
      <c r="B202" t="s">
        <v>567</v>
      </c>
      <c r="C202">
        <v>23.681496503496501</v>
      </c>
      <c r="D202" s="1" t="s">
        <v>568</v>
      </c>
      <c r="E202">
        <f t="shared" ref="E202:E265" si="5">(6371*2*ASIN(SQRT(SIN((RADIANS($K$3-C202))/2)^2+COS(RADIANS(C202))*COS(RADIANS($K$3))*SIN((RADIANS($K$4-D202))/2)^2)))</f>
        <v>892.92579674074614</v>
      </c>
      <c r="J202" t="str">
        <v>Sagar</v>
      </c>
    </row>
    <row r="203" spans="1:10" x14ac:dyDescent="0.2">
      <c r="A203" t="s">
        <v>566</v>
      </c>
      <c r="B203" t="s">
        <v>569</v>
      </c>
      <c r="C203" s="1" t="s">
        <v>570</v>
      </c>
      <c r="D203" s="1" t="s">
        <v>571</v>
      </c>
      <c r="E203">
        <f t="shared" si="5"/>
        <v>781.39311467914729</v>
      </c>
      <c r="J203" t="str">
        <v>Satna</v>
      </c>
    </row>
    <row r="204" spans="1:10" x14ac:dyDescent="0.2">
      <c r="A204" t="s">
        <v>566</v>
      </c>
      <c r="B204" t="s">
        <v>572</v>
      </c>
      <c r="C204" s="1" t="s">
        <v>573</v>
      </c>
      <c r="D204" s="1" t="s">
        <v>574</v>
      </c>
      <c r="E204">
        <f t="shared" si="5"/>
        <v>910.03328223704023</v>
      </c>
      <c r="J204" t="str">
        <v>Sehore</v>
      </c>
    </row>
    <row r="205" spans="1:10" x14ac:dyDescent="0.2">
      <c r="A205" t="s">
        <v>566</v>
      </c>
      <c r="B205" t="s">
        <v>575</v>
      </c>
      <c r="C205" s="1" t="s">
        <v>576</v>
      </c>
      <c r="D205" s="1" t="s">
        <v>577</v>
      </c>
      <c r="E205">
        <f t="shared" si="5"/>
        <v>913.20328457812502</v>
      </c>
      <c r="J205" t="str">
        <v>Seoni</v>
      </c>
    </row>
    <row r="206" spans="1:10" x14ac:dyDescent="0.2">
      <c r="A206" t="s">
        <v>566</v>
      </c>
      <c r="B206" t="s">
        <v>578</v>
      </c>
      <c r="C206" s="1" t="s">
        <v>579</v>
      </c>
      <c r="D206" s="1" t="s">
        <v>580</v>
      </c>
      <c r="E206">
        <f t="shared" si="5"/>
        <v>956.99654671093595</v>
      </c>
      <c r="J206" t="str">
        <v>Shahdol</v>
      </c>
    </row>
    <row r="207" spans="1:10" x14ac:dyDescent="0.2">
      <c r="A207" t="s">
        <v>566</v>
      </c>
      <c r="B207" t="s">
        <v>581</v>
      </c>
      <c r="C207" s="1" t="s">
        <v>582</v>
      </c>
      <c r="D207" s="1" t="s">
        <v>583</v>
      </c>
      <c r="E207">
        <f t="shared" si="5"/>
        <v>697.40390005124709</v>
      </c>
      <c r="J207" t="str">
        <v>Shajapur</v>
      </c>
    </row>
    <row r="208" spans="1:10" x14ac:dyDescent="0.2">
      <c r="A208" t="s">
        <v>566</v>
      </c>
      <c r="B208" t="s">
        <v>584</v>
      </c>
      <c r="C208" s="1" t="s">
        <v>585</v>
      </c>
      <c r="D208" s="1" t="s">
        <v>586</v>
      </c>
      <c r="E208">
        <f t="shared" si="5"/>
        <v>856.91810028498867</v>
      </c>
      <c r="J208" t="str">
        <v>Sheopur</v>
      </c>
    </row>
    <row r="209" spans="1:10" x14ac:dyDescent="0.2">
      <c r="A209" t="s">
        <v>566</v>
      </c>
      <c r="B209" t="s">
        <v>587</v>
      </c>
      <c r="C209" s="1" t="s">
        <v>588</v>
      </c>
      <c r="D209">
        <v>87.294173548387107</v>
      </c>
      <c r="E209">
        <f t="shared" si="5"/>
        <v>926.29067443749136</v>
      </c>
      <c r="J209" t="str">
        <v>Shivpuri</v>
      </c>
    </row>
    <row r="210" spans="1:10" x14ac:dyDescent="0.2">
      <c r="A210" t="s">
        <v>566</v>
      </c>
      <c r="B210" t="s">
        <v>589</v>
      </c>
      <c r="C210" s="1" t="s">
        <v>590</v>
      </c>
      <c r="D210" s="1" t="s">
        <v>591</v>
      </c>
      <c r="E210">
        <f t="shared" si="5"/>
        <v>839.51334082970595</v>
      </c>
      <c r="J210" t="str">
        <v>Sidhi</v>
      </c>
    </row>
    <row r="211" spans="1:10" x14ac:dyDescent="0.2">
      <c r="A211" t="s">
        <v>566</v>
      </c>
      <c r="B211" t="s">
        <v>592</v>
      </c>
      <c r="C211" s="1" t="s">
        <v>593</v>
      </c>
      <c r="D211" s="1" t="s">
        <v>594</v>
      </c>
      <c r="E211">
        <f t="shared" si="5"/>
        <v>836.36500105751497</v>
      </c>
      <c r="J211" t="str">
        <v>Tikamgarh</v>
      </c>
    </row>
    <row r="212" spans="1:10" x14ac:dyDescent="0.2">
      <c r="A212" t="s">
        <v>566</v>
      </c>
      <c r="B212" t="s">
        <v>595</v>
      </c>
      <c r="C212" s="1" t="s">
        <v>596</v>
      </c>
      <c r="D212" s="1" t="s">
        <v>597</v>
      </c>
      <c r="E212">
        <f t="shared" si="5"/>
        <v>949.03873656514736</v>
      </c>
      <c r="J212" t="str">
        <v>Ujjain</v>
      </c>
    </row>
    <row r="213" spans="1:10" x14ac:dyDescent="0.2">
      <c r="A213" t="s">
        <v>566</v>
      </c>
      <c r="B213" t="s">
        <v>598</v>
      </c>
      <c r="C213" s="1" t="s">
        <v>599</v>
      </c>
      <c r="D213">
        <v>85.7169091872792</v>
      </c>
      <c r="E213">
        <f t="shared" si="5"/>
        <v>810.19759713606811</v>
      </c>
      <c r="J213" t="str">
        <v>Umaria</v>
      </c>
    </row>
    <row r="214" spans="1:10" x14ac:dyDescent="0.2">
      <c r="A214" t="s">
        <v>566</v>
      </c>
      <c r="B214" t="s">
        <v>600</v>
      </c>
      <c r="C214" s="1" t="s">
        <v>601</v>
      </c>
      <c r="D214" s="1" t="s">
        <v>602</v>
      </c>
      <c r="E214">
        <f t="shared" si="5"/>
        <v>780.48243779074971</v>
      </c>
      <c r="J214" t="str">
        <v>Vidisha</v>
      </c>
    </row>
    <row r="215" spans="1:10" x14ac:dyDescent="0.2">
      <c r="A215" t="s">
        <v>566</v>
      </c>
      <c r="B215" t="s">
        <v>603</v>
      </c>
      <c r="C215" s="1" t="s">
        <v>604</v>
      </c>
      <c r="D215">
        <v>84.660516906474797</v>
      </c>
      <c r="E215">
        <f t="shared" si="5"/>
        <v>812.11479773732719</v>
      </c>
      <c r="J215" t="str">
        <v>West Nimar</v>
      </c>
    </row>
    <row r="216" spans="1:10" x14ac:dyDescent="0.2">
      <c r="A216" t="s">
        <v>566</v>
      </c>
      <c r="B216" t="s">
        <v>605</v>
      </c>
      <c r="C216" s="1" t="s">
        <v>606</v>
      </c>
      <c r="D216" s="1" t="s">
        <v>607</v>
      </c>
      <c r="E216">
        <f t="shared" si="5"/>
        <v>975.26086613173663</v>
      </c>
      <c r="J216" t="str">
        <v>Ahmednagar</v>
      </c>
    </row>
    <row r="217" spans="1:10" x14ac:dyDescent="0.2">
      <c r="A217" t="s">
        <v>566</v>
      </c>
      <c r="B217" t="s">
        <v>608</v>
      </c>
      <c r="C217" s="1" t="s">
        <v>609</v>
      </c>
      <c r="D217" s="1" t="s">
        <v>610</v>
      </c>
      <c r="E217">
        <f t="shared" si="5"/>
        <v>722.65933591408873</v>
      </c>
      <c r="J217" t="str">
        <v>Akola</v>
      </c>
    </row>
    <row r="218" spans="1:10" x14ac:dyDescent="0.2">
      <c r="A218" t="s">
        <v>566</v>
      </c>
      <c r="B218" t="s">
        <v>611</v>
      </c>
      <c r="C218" s="1" t="s">
        <v>612</v>
      </c>
      <c r="D218">
        <v>85.540984104938204</v>
      </c>
      <c r="E218">
        <f t="shared" si="5"/>
        <v>962.63746934254618</v>
      </c>
      <c r="J218" t="str">
        <v>Amravati</v>
      </c>
    </row>
    <row r="219" spans="1:10" x14ac:dyDescent="0.2">
      <c r="A219" t="s">
        <v>566</v>
      </c>
      <c r="B219" t="s">
        <v>613</v>
      </c>
      <c r="C219" s="1" t="s">
        <v>614</v>
      </c>
      <c r="D219" s="1" t="s">
        <v>615</v>
      </c>
      <c r="E219">
        <f t="shared" si="5"/>
        <v>1014.9248820671827</v>
      </c>
      <c r="J219" t="str">
        <v>Aurangabad</v>
      </c>
    </row>
    <row r="220" spans="1:10" x14ac:dyDescent="0.2">
      <c r="A220" t="s">
        <v>566</v>
      </c>
      <c r="B220" t="s">
        <v>616</v>
      </c>
      <c r="C220" s="1" t="s">
        <v>617</v>
      </c>
      <c r="D220" s="1" t="s">
        <v>618</v>
      </c>
      <c r="E220">
        <f t="shared" si="5"/>
        <v>882.45935879256342</v>
      </c>
      <c r="J220" t="str">
        <v>Bhandara</v>
      </c>
    </row>
    <row r="221" spans="1:10" x14ac:dyDescent="0.2">
      <c r="A221" t="s">
        <v>566</v>
      </c>
      <c r="B221" t="s">
        <v>619</v>
      </c>
      <c r="C221" s="1" t="s">
        <v>620</v>
      </c>
      <c r="D221" s="1" t="s">
        <v>621</v>
      </c>
      <c r="E221">
        <f t="shared" si="5"/>
        <v>953.82144950266854</v>
      </c>
      <c r="J221" t="str">
        <v>Bid</v>
      </c>
    </row>
    <row r="222" spans="1:10" x14ac:dyDescent="0.2">
      <c r="A222" t="s">
        <v>566</v>
      </c>
      <c r="B222" t="s">
        <v>622</v>
      </c>
      <c r="C222" s="1" t="s">
        <v>623</v>
      </c>
      <c r="D222" s="1" t="s">
        <v>624</v>
      </c>
      <c r="E222">
        <f t="shared" si="5"/>
        <v>949.76370746571035</v>
      </c>
      <c r="J222" t="str">
        <v>Buldana</v>
      </c>
    </row>
    <row r="223" spans="1:10" x14ac:dyDescent="0.2">
      <c r="A223" t="s">
        <v>566</v>
      </c>
      <c r="B223" t="s">
        <v>625</v>
      </c>
      <c r="C223" s="1" t="s">
        <v>626</v>
      </c>
      <c r="D223" s="1" t="s">
        <v>627</v>
      </c>
      <c r="E223">
        <f t="shared" si="5"/>
        <v>883.16877782899417</v>
      </c>
      <c r="J223" t="str">
        <v>Chandrapur</v>
      </c>
    </row>
    <row r="224" spans="1:10" x14ac:dyDescent="0.2">
      <c r="A224" t="s">
        <v>628</v>
      </c>
      <c r="B224" t="s">
        <v>629</v>
      </c>
      <c r="C224" s="1" t="s">
        <v>630</v>
      </c>
      <c r="D224" s="1" t="s">
        <v>631</v>
      </c>
      <c r="E224">
        <f t="shared" si="5"/>
        <v>1453.2462790021989</v>
      </c>
      <c r="J224" t="str">
        <v>Dhule</v>
      </c>
    </row>
    <row r="225" spans="1:10" x14ac:dyDescent="0.2">
      <c r="A225" t="s">
        <v>628</v>
      </c>
      <c r="B225" t="s">
        <v>632</v>
      </c>
      <c r="C225" s="1" t="s">
        <v>633</v>
      </c>
      <c r="D225" s="1" t="s">
        <v>634</v>
      </c>
      <c r="E225">
        <f t="shared" si="5"/>
        <v>1775.5908435736724</v>
      </c>
      <c r="J225" t="str">
        <v>Garhchiroli</v>
      </c>
    </row>
    <row r="226" spans="1:10" x14ac:dyDescent="0.2">
      <c r="A226" t="s">
        <v>628</v>
      </c>
      <c r="B226" t="s">
        <v>635</v>
      </c>
      <c r="C226" s="1" t="s">
        <v>636</v>
      </c>
      <c r="D226" s="1" t="s">
        <v>637</v>
      </c>
      <c r="E226">
        <f t="shared" si="5"/>
        <v>1778.3811258421324</v>
      </c>
      <c r="J226" t="str">
        <v>Gondiya</v>
      </c>
    </row>
    <row r="227" spans="1:10" x14ac:dyDescent="0.2">
      <c r="A227" t="s">
        <v>628</v>
      </c>
      <c r="B227" t="s">
        <v>638</v>
      </c>
      <c r="C227" s="1" t="s">
        <v>639</v>
      </c>
      <c r="D227" s="1" t="s">
        <v>640</v>
      </c>
      <c r="E227">
        <f t="shared" si="5"/>
        <v>1478.8723033337758</v>
      </c>
      <c r="J227" t="str">
        <v>Hingoli</v>
      </c>
    </row>
    <row r="228" spans="1:10" x14ac:dyDescent="0.2">
      <c r="A228" t="s">
        <v>628</v>
      </c>
      <c r="B228" t="s">
        <v>641</v>
      </c>
      <c r="C228" s="1" t="s">
        <v>642</v>
      </c>
      <c r="D228" s="1" t="s">
        <v>643</v>
      </c>
      <c r="E228">
        <f t="shared" si="5"/>
        <v>1553.6504228242457</v>
      </c>
      <c r="J228" t="str">
        <v>Jalgaon</v>
      </c>
    </row>
    <row r="229" spans="1:10" x14ac:dyDescent="0.2">
      <c r="A229" t="s">
        <v>628</v>
      </c>
      <c r="B229" t="s">
        <v>644</v>
      </c>
      <c r="C229" s="1" t="s">
        <v>645</v>
      </c>
      <c r="D229" s="1" t="s">
        <v>646</v>
      </c>
      <c r="E229">
        <f t="shared" si="5"/>
        <v>1225.6434508076852</v>
      </c>
      <c r="J229" t="str">
        <v>Jalna</v>
      </c>
    </row>
    <row r="230" spans="1:10" x14ac:dyDescent="0.2">
      <c r="A230" t="s">
        <v>628</v>
      </c>
      <c r="B230" t="s">
        <v>647</v>
      </c>
      <c r="C230" s="1" t="s">
        <v>648</v>
      </c>
      <c r="D230" s="1" t="s">
        <v>649</v>
      </c>
      <c r="E230">
        <f t="shared" si="5"/>
        <v>1371.8009709684388</v>
      </c>
      <c r="J230" t="str">
        <v>Latur</v>
      </c>
    </row>
    <row r="231" spans="1:10" x14ac:dyDescent="0.2">
      <c r="A231" t="s">
        <v>628</v>
      </c>
      <c r="B231" t="s">
        <v>650</v>
      </c>
      <c r="C231" s="1" t="s">
        <v>651</v>
      </c>
      <c r="D231" s="1" t="s">
        <v>652</v>
      </c>
      <c r="E231">
        <f t="shared" si="5"/>
        <v>1889.3873067245086</v>
      </c>
      <c r="J231" t="str">
        <v>Nagpur</v>
      </c>
    </row>
    <row r="232" spans="1:10" x14ac:dyDescent="0.2">
      <c r="A232" t="s">
        <v>628</v>
      </c>
      <c r="B232" t="s">
        <v>653</v>
      </c>
      <c r="C232" s="1" t="s">
        <v>654</v>
      </c>
      <c r="D232" s="1" t="s">
        <v>655</v>
      </c>
      <c r="E232">
        <f t="shared" si="5"/>
        <v>1749.5014214008149</v>
      </c>
      <c r="J232" t="str">
        <v>Nanded</v>
      </c>
    </row>
    <row r="233" spans="1:10" x14ac:dyDescent="0.2">
      <c r="A233" t="s">
        <v>628</v>
      </c>
      <c r="B233" t="s">
        <v>656</v>
      </c>
      <c r="C233" s="1" t="s">
        <v>657</v>
      </c>
      <c r="D233" s="1" t="s">
        <v>658</v>
      </c>
      <c r="E233">
        <f t="shared" si="5"/>
        <v>1637.8236044455114</v>
      </c>
      <c r="J233" t="str">
        <v>Nandurbar</v>
      </c>
    </row>
    <row r="234" spans="1:10" x14ac:dyDescent="0.2">
      <c r="A234" t="s">
        <v>628</v>
      </c>
      <c r="B234" t="s">
        <v>659</v>
      </c>
      <c r="C234" s="1" t="s">
        <v>660</v>
      </c>
      <c r="D234" s="1" t="s">
        <v>661</v>
      </c>
      <c r="E234">
        <f t="shared" si="5"/>
        <v>1823.7456623274934</v>
      </c>
      <c r="J234" t="str">
        <v>Nashik</v>
      </c>
    </row>
    <row r="235" spans="1:10" x14ac:dyDescent="0.2">
      <c r="A235" t="s">
        <v>628</v>
      </c>
      <c r="B235" t="s">
        <v>662</v>
      </c>
      <c r="C235" s="1" t="s">
        <v>663</v>
      </c>
      <c r="D235" s="1" t="s">
        <v>664</v>
      </c>
      <c r="E235">
        <f t="shared" si="5"/>
        <v>1645.7324694503066</v>
      </c>
      <c r="J235" t="str">
        <v>Osmanabad</v>
      </c>
    </row>
    <row r="236" spans="1:10" x14ac:dyDescent="0.2">
      <c r="A236" t="s">
        <v>628</v>
      </c>
      <c r="B236" t="s">
        <v>665</v>
      </c>
      <c r="C236" s="1" t="s">
        <v>666</v>
      </c>
      <c r="D236" s="1" t="s">
        <v>667</v>
      </c>
      <c r="E236">
        <f t="shared" si="5"/>
        <v>1554.306992248687</v>
      </c>
      <c r="J236" t="str">
        <v>Parbhani</v>
      </c>
    </row>
    <row r="237" spans="1:10" x14ac:dyDescent="0.2">
      <c r="A237" t="s">
        <v>628</v>
      </c>
      <c r="B237" t="s">
        <v>668</v>
      </c>
      <c r="C237" s="1" t="s">
        <v>669</v>
      </c>
      <c r="D237" s="1" t="s">
        <v>670</v>
      </c>
      <c r="E237">
        <f t="shared" si="5"/>
        <v>1523.6867872868127</v>
      </c>
      <c r="J237" t="str">
        <v>Thane</v>
      </c>
    </row>
    <row r="238" spans="1:10" x14ac:dyDescent="0.2">
      <c r="A238" t="s">
        <v>628</v>
      </c>
      <c r="B238" t="s">
        <v>671</v>
      </c>
      <c r="C238" s="1" t="s">
        <v>672</v>
      </c>
      <c r="D238" s="1" t="s">
        <v>673</v>
      </c>
      <c r="E238">
        <f t="shared" si="5"/>
        <v>1327.6320342854497</v>
      </c>
      <c r="J238" t="str">
        <v>Wardha</v>
      </c>
    </row>
    <row r="239" spans="1:10" x14ac:dyDescent="0.2">
      <c r="A239" t="s">
        <v>628</v>
      </c>
      <c r="B239" t="s">
        <v>674</v>
      </c>
      <c r="C239" s="1" t="s">
        <v>675</v>
      </c>
      <c r="D239" s="1" t="s">
        <v>676</v>
      </c>
      <c r="E239">
        <f t="shared" si="5"/>
        <v>1793.6094842103969</v>
      </c>
      <c r="J239" t="str">
        <v>Washim</v>
      </c>
    </row>
    <row r="240" spans="1:10" x14ac:dyDescent="0.2">
      <c r="A240" t="s">
        <v>628</v>
      </c>
      <c r="B240" t="s">
        <v>677</v>
      </c>
      <c r="C240" s="1" t="s">
        <v>678</v>
      </c>
      <c r="D240">
        <v>75.396123060796597</v>
      </c>
      <c r="E240">
        <f t="shared" si="5"/>
        <v>1613.1597697137724</v>
      </c>
      <c r="J240" t="str">
        <v>Yavatmal</v>
      </c>
    </row>
    <row r="241" spans="1:10" x14ac:dyDescent="0.2">
      <c r="A241" t="s">
        <v>628</v>
      </c>
      <c r="B241" t="s">
        <v>679</v>
      </c>
      <c r="C241" s="1" t="s">
        <v>680</v>
      </c>
      <c r="D241" s="1" t="s">
        <v>681</v>
      </c>
      <c r="E241">
        <f t="shared" si="5"/>
        <v>1859.548422665712</v>
      </c>
      <c r="J241" t="str">
        <v>East Garo Hills</v>
      </c>
    </row>
    <row r="242" spans="1:10" x14ac:dyDescent="0.2">
      <c r="A242" t="s">
        <v>628</v>
      </c>
      <c r="B242" t="s">
        <v>682</v>
      </c>
      <c r="C242" s="1" t="s">
        <v>683</v>
      </c>
      <c r="D242" s="1" t="s">
        <v>684</v>
      </c>
      <c r="E242">
        <f t="shared" si="5"/>
        <v>1729.4157915751721</v>
      </c>
      <c r="J242" t="str">
        <v>South Garo Hills</v>
      </c>
    </row>
    <row r="243" spans="1:10" x14ac:dyDescent="0.2">
      <c r="A243" t="s">
        <v>628</v>
      </c>
      <c r="B243" t="s">
        <v>685</v>
      </c>
      <c r="C243" s="1" t="s">
        <v>686</v>
      </c>
      <c r="D243">
        <v>76.161704859813099</v>
      </c>
      <c r="E243">
        <f t="shared" si="5"/>
        <v>1496.5536264613052</v>
      </c>
      <c r="J243" t="str">
        <v>West Garo Hills</v>
      </c>
    </row>
    <row r="244" spans="1:10" x14ac:dyDescent="0.2">
      <c r="A244" t="s">
        <v>628</v>
      </c>
      <c r="B244" t="s">
        <v>687</v>
      </c>
      <c r="C244" s="1" t="s">
        <v>688</v>
      </c>
      <c r="D244" s="1" t="s">
        <v>689</v>
      </c>
      <c r="E244">
        <f t="shared" si="5"/>
        <v>1823.2863383653041</v>
      </c>
      <c r="J244" t="str">
        <v>Angul</v>
      </c>
    </row>
    <row r="245" spans="1:10" x14ac:dyDescent="0.2">
      <c r="A245" t="s">
        <v>628</v>
      </c>
      <c r="B245" t="s">
        <v>690</v>
      </c>
      <c r="C245" s="1" t="s">
        <v>691</v>
      </c>
      <c r="D245" s="1" t="s">
        <v>692</v>
      </c>
      <c r="E245">
        <f t="shared" si="5"/>
        <v>1863.3814099954177</v>
      </c>
      <c r="J245" t="str">
        <v>Baleshwar</v>
      </c>
    </row>
    <row r="246" spans="1:10" x14ac:dyDescent="0.2">
      <c r="A246" t="s">
        <v>628</v>
      </c>
      <c r="B246" t="s">
        <v>693</v>
      </c>
      <c r="C246" s="1" t="s">
        <v>694</v>
      </c>
      <c r="D246" s="1" t="s">
        <v>695</v>
      </c>
      <c r="E246">
        <f t="shared" si="5"/>
        <v>1439.5992502050212</v>
      </c>
      <c r="J246" t="str">
        <v>Baragarh</v>
      </c>
    </row>
    <row r="247" spans="1:10" x14ac:dyDescent="0.2">
      <c r="A247" t="s">
        <v>628</v>
      </c>
      <c r="B247" t="s">
        <v>696</v>
      </c>
      <c r="C247" s="1" t="s">
        <v>697</v>
      </c>
      <c r="D247" s="1" t="s">
        <v>698</v>
      </c>
      <c r="E247">
        <f t="shared" si="5"/>
        <v>1691.4370086198514</v>
      </c>
      <c r="J247" t="str">
        <v>Bhadrak</v>
      </c>
    </row>
    <row r="248" spans="1:10" x14ac:dyDescent="0.2">
      <c r="A248" t="s">
        <v>628</v>
      </c>
      <c r="B248" t="s">
        <v>699</v>
      </c>
      <c r="C248" s="1" t="s">
        <v>700</v>
      </c>
      <c r="D248" s="1" t="s">
        <v>701</v>
      </c>
      <c r="E248">
        <f t="shared" si="5"/>
        <v>1708.2415579806582</v>
      </c>
      <c r="J248" t="str">
        <v>Bolangir</v>
      </c>
    </row>
    <row r="249" spans="1:10" x14ac:dyDescent="0.2">
      <c r="A249" t="s">
        <v>628</v>
      </c>
      <c r="B249" t="s">
        <v>702</v>
      </c>
      <c r="C249" s="1" t="s">
        <v>703</v>
      </c>
      <c r="D249" s="1" t="s">
        <v>704</v>
      </c>
      <c r="E249">
        <f t="shared" si="5"/>
        <v>1769.4412760687023</v>
      </c>
      <c r="J249" t="str">
        <v>Boudh</v>
      </c>
    </row>
    <row r="250" spans="1:10" x14ac:dyDescent="0.2">
      <c r="A250" t="s">
        <v>628</v>
      </c>
      <c r="B250" t="s">
        <v>705</v>
      </c>
      <c r="C250" s="1" t="s">
        <v>706</v>
      </c>
      <c r="D250" s="1" t="s">
        <v>707</v>
      </c>
      <c r="E250">
        <f t="shared" si="5"/>
        <v>1663.0824891722516</v>
      </c>
      <c r="J250" t="str">
        <v>Cuttack</v>
      </c>
    </row>
    <row r="251" spans="1:10" x14ac:dyDescent="0.2">
      <c r="A251" t="s">
        <v>708</v>
      </c>
      <c r="B251" t="s">
        <v>709</v>
      </c>
      <c r="C251" s="1" t="s">
        <v>710</v>
      </c>
      <c r="D251" s="1" t="s">
        <v>711</v>
      </c>
      <c r="E251">
        <f t="shared" si="5"/>
        <v>2163.7580015084436</v>
      </c>
      <c r="J251" t="str">
        <v>Deogarh</v>
      </c>
    </row>
    <row r="252" spans="1:10" x14ac:dyDescent="0.2">
      <c r="A252" t="s">
        <v>708</v>
      </c>
      <c r="B252" t="s">
        <v>712</v>
      </c>
      <c r="C252" s="1" t="s">
        <v>713</v>
      </c>
      <c r="D252" s="1" t="s">
        <v>714</v>
      </c>
      <c r="E252">
        <f t="shared" si="5"/>
        <v>2114.3510980443252</v>
      </c>
      <c r="J252" t="str">
        <v>Dhenkanal</v>
      </c>
    </row>
    <row r="253" spans="1:10" x14ac:dyDescent="0.2">
      <c r="A253" t="s">
        <v>708</v>
      </c>
      <c r="B253" t="s">
        <v>715</v>
      </c>
      <c r="C253">
        <v>9.8048096385542305</v>
      </c>
      <c r="D253" s="1" t="s">
        <v>716</v>
      </c>
      <c r="E253">
        <f t="shared" si="5"/>
        <v>2126.6929087222325</v>
      </c>
      <c r="J253" t="str">
        <v>Gajapati</v>
      </c>
    </row>
    <row r="254" spans="1:10" x14ac:dyDescent="0.2">
      <c r="A254" t="s">
        <v>708</v>
      </c>
      <c r="B254" t="s">
        <v>717</v>
      </c>
      <c r="C254" s="1" t="s">
        <v>718</v>
      </c>
      <c r="D254" s="1" t="s">
        <v>719</v>
      </c>
      <c r="E254">
        <f t="shared" si="5"/>
        <v>1918.1749014158081</v>
      </c>
      <c r="J254" t="str">
        <v>Ganjam</v>
      </c>
    </row>
    <row r="255" spans="1:10" x14ac:dyDescent="0.2">
      <c r="A255" t="s">
        <v>708</v>
      </c>
      <c r="B255" t="s">
        <v>720</v>
      </c>
      <c r="C255" s="1" t="s">
        <v>721</v>
      </c>
      <c r="D255" s="1" t="s">
        <v>722</v>
      </c>
      <c r="E255">
        <f t="shared" si="5"/>
        <v>1881.5792858732527</v>
      </c>
      <c r="J255" t="str">
        <v>Jagatsinghpur</v>
      </c>
    </row>
    <row r="256" spans="1:10" x14ac:dyDescent="0.2">
      <c r="A256" t="s">
        <v>708</v>
      </c>
      <c r="B256" t="s">
        <v>723</v>
      </c>
      <c r="C256" s="1" t="s">
        <v>724</v>
      </c>
      <c r="D256">
        <v>76.6360775852431</v>
      </c>
      <c r="E256">
        <f t="shared" si="5"/>
        <v>2228.1623747225926</v>
      </c>
      <c r="J256" t="str">
        <v>Jajpur</v>
      </c>
    </row>
    <row r="257" spans="1:10" x14ac:dyDescent="0.2">
      <c r="A257" t="s">
        <v>708</v>
      </c>
      <c r="B257" t="s">
        <v>725</v>
      </c>
      <c r="C257" s="1" t="s">
        <v>726</v>
      </c>
      <c r="D257" s="1" t="s">
        <v>727</v>
      </c>
      <c r="E257">
        <f t="shared" si="5"/>
        <v>2151.510927021217</v>
      </c>
      <c r="J257" t="str">
        <v>Jharsuguda</v>
      </c>
    </row>
    <row r="258" spans="1:10" x14ac:dyDescent="0.2">
      <c r="A258" t="s">
        <v>708</v>
      </c>
      <c r="B258" t="s">
        <v>728</v>
      </c>
      <c r="C258" s="1" t="s">
        <v>729</v>
      </c>
      <c r="D258" s="1" t="s">
        <v>730</v>
      </c>
      <c r="E258">
        <f t="shared" si="5"/>
        <v>1971.0322855050197</v>
      </c>
      <c r="J258" t="str">
        <v>Kalahandi</v>
      </c>
    </row>
    <row r="259" spans="1:10" x14ac:dyDescent="0.2">
      <c r="A259" t="s">
        <v>708</v>
      </c>
      <c r="B259" t="s">
        <v>731</v>
      </c>
      <c r="C259" s="1" t="s">
        <v>732</v>
      </c>
      <c r="D259" s="1" t="s">
        <v>733</v>
      </c>
      <c r="E259">
        <f t="shared" si="5"/>
        <v>2013.0162982831639</v>
      </c>
      <c r="J259" t="str">
        <v>Kandhamal</v>
      </c>
    </row>
    <row r="260" spans="1:10" x14ac:dyDescent="0.2">
      <c r="A260" t="s">
        <v>708</v>
      </c>
      <c r="B260" t="s">
        <v>734</v>
      </c>
      <c r="C260" s="1" t="s">
        <v>735</v>
      </c>
      <c r="D260" s="1" t="s">
        <v>736</v>
      </c>
      <c r="E260">
        <f t="shared" si="5"/>
        <v>2025.0700187160035</v>
      </c>
      <c r="J260" t="str">
        <v>Kendrapara</v>
      </c>
    </row>
    <row r="261" spans="1:10" x14ac:dyDescent="0.2">
      <c r="A261" t="s">
        <v>708</v>
      </c>
      <c r="B261" t="s">
        <v>737</v>
      </c>
      <c r="C261" s="1" t="s">
        <v>738</v>
      </c>
      <c r="D261" s="1" t="s">
        <v>739</v>
      </c>
      <c r="E261">
        <f t="shared" si="5"/>
        <v>2185.4864309921513</v>
      </c>
      <c r="J261" t="str">
        <v>Keonjhar</v>
      </c>
    </row>
    <row r="262" spans="1:10" x14ac:dyDescent="0.2">
      <c r="A262" t="s">
        <v>708</v>
      </c>
      <c r="B262" t="s">
        <v>740</v>
      </c>
      <c r="C262" s="1" t="s">
        <v>741</v>
      </c>
      <c r="D262" s="1" t="s">
        <v>742</v>
      </c>
      <c r="E262">
        <f t="shared" si="5"/>
        <v>2268.6807881684745</v>
      </c>
      <c r="J262" t="str">
        <v>Khordha</v>
      </c>
    </row>
    <row r="263" spans="1:10" x14ac:dyDescent="0.2">
      <c r="A263" t="s">
        <v>708</v>
      </c>
      <c r="B263" t="s">
        <v>743</v>
      </c>
      <c r="C263" s="1" t="s">
        <v>744</v>
      </c>
      <c r="D263" s="1" t="s">
        <v>745</v>
      </c>
      <c r="E263">
        <f t="shared" si="5"/>
        <v>2066.5602926749034</v>
      </c>
      <c r="J263" t="str">
        <v>Koraput</v>
      </c>
    </row>
    <row r="264" spans="1:10" x14ac:dyDescent="0.2">
      <c r="A264" t="s">
        <v>708</v>
      </c>
      <c r="B264" t="s">
        <v>746</v>
      </c>
      <c r="C264" s="1" t="s">
        <v>747</v>
      </c>
      <c r="D264" s="1" t="s">
        <v>748</v>
      </c>
      <c r="E264">
        <f t="shared" si="5"/>
        <v>1929.1967045561603</v>
      </c>
      <c r="J264" t="str">
        <v>Malkangiri</v>
      </c>
    </row>
    <row r="265" spans="1:10" x14ac:dyDescent="0.2">
      <c r="A265" t="s">
        <v>749</v>
      </c>
      <c r="B265" t="s">
        <v>750</v>
      </c>
      <c r="C265" s="1" t="s">
        <v>751</v>
      </c>
      <c r="D265" s="1" t="s">
        <v>752</v>
      </c>
      <c r="E265">
        <f t="shared" si="5"/>
        <v>2147.4668934067922</v>
      </c>
      <c r="J265" t="str">
        <v>Mayurbhanj</v>
      </c>
    </row>
    <row r="266" spans="1:10" x14ac:dyDescent="0.2">
      <c r="A266" t="s">
        <v>753</v>
      </c>
      <c r="B266" t="s">
        <v>754</v>
      </c>
      <c r="C266" s="1" t="s">
        <v>755</v>
      </c>
      <c r="D266" s="1" t="s">
        <v>756</v>
      </c>
      <c r="E266">
        <f t="shared" ref="E266:E329" si="6">(6371*2*ASIN(SQRT(SIN((RADIANS($K$3-C266))/2)^2+COS(RADIANS(C266))*COS(RADIANS($K$3))*SIN((RADIANS($K$4-D266))/2)^2)))</f>
        <v>685.94718948553793</v>
      </c>
      <c r="J266" t="str">
        <v>Nabarangpur</v>
      </c>
    </row>
    <row r="267" spans="1:10" x14ac:dyDescent="0.2">
      <c r="A267" t="s">
        <v>753</v>
      </c>
      <c r="B267" t="s">
        <v>757</v>
      </c>
      <c r="C267" s="1" t="s">
        <v>758</v>
      </c>
      <c r="D267" s="1" t="s">
        <v>759</v>
      </c>
      <c r="E267">
        <f t="shared" si="6"/>
        <v>484.15362228574787</v>
      </c>
      <c r="J267" t="str">
        <v>Nayagarh</v>
      </c>
    </row>
    <row r="268" spans="1:10" x14ac:dyDescent="0.2">
      <c r="A268" t="s">
        <v>753</v>
      </c>
      <c r="B268" t="s">
        <v>760</v>
      </c>
      <c r="C268" s="1" t="s">
        <v>761</v>
      </c>
      <c r="D268" s="1" t="s">
        <v>762</v>
      </c>
      <c r="E268">
        <f t="shared" si="6"/>
        <v>792.96771891155686</v>
      </c>
      <c r="J268" t="str">
        <v>Nuapada</v>
      </c>
    </row>
    <row r="269" spans="1:10" x14ac:dyDescent="0.2">
      <c r="A269" t="s">
        <v>753</v>
      </c>
      <c r="B269" t="s">
        <v>763</v>
      </c>
      <c r="C269" s="1" t="s">
        <v>764</v>
      </c>
      <c r="D269" s="1" t="s">
        <v>765</v>
      </c>
      <c r="E269">
        <f t="shared" si="6"/>
        <v>898.08958288387817</v>
      </c>
      <c r="J269" t="str">
        <v>Puri</v>
      </c>
    </row>
    <row r="270" spans="1:10" x14ac:dyDescent="0.2">
      <c r="A270" t="s">
        <v>753</v>
      </c>
      <c r="B270" t="s">
        <v>766</v>
      </c>
      <c r="C270" s="1" t="s">
        <v>767</v>
      </c>
      <c r="D270">
        <v>77.787342818911696</v>
      </c>
      <c r="E270">
        <f t="shared" si="6"/>
        <v>775.11068457922988</v>
      </c>
      <c r="J270" t="str">
        <v>Rayagada</v>
      </c>
    </row>
    <row r="271" spans="1:10" x14ac:dyDescent="0.2">
      <c r="A271" t="s">
        <v>753</v>
      </c>
      <c r="B271" t="s">
        <v>768</v>
      </c>
      <c r="C271" s="1" t="s">
        <v>769</v>
      </c>
      <c r="D271">
        <v>78.761832428765302</v>
      </c>
      <c r="E271">
        <f t="shared" si="6"/>
        <v>277.10681760453247</v>
      </c>
      <c r="J271" t="str">
        <v>Sambalpur</v>
      </c>
    </row>
    <row r="272" spans="1:10" x14ac:dyDescent="0.2">
      <c r="A272" t="s">
        <v>753</v>
      </c>
      <c r="B272" t="s">
        <v>770</v>
      </c>
      <c r="C272" s="1" t="s">
        <v>771</v>
      </c>
      <c r="D272" s="1" t="s">
        <v>772</v>
      </c>
      <c r="E272">
        <f t="shared" si="6"/>
        <v>619.24643222167015</v>
      </c>
      <c r="J272" t="str">
        <v>Sonepur</v>
      </c>
    </row>
    <row r="273" spans="1:10" x14ac:dyDescent="0.2">
      <c r="A273" t="s">
        <v>753</v>
      </c>
      <c r="B273" t="s">
        <v>773</v>
      </c>
      <c r="C273" s="1" t="s">
        <v>774</v>
      </c>
      <c r="D273" s="1" t="s">
        <v>775</v>
      </c>
      <c r="E273">
        <f t="shared" si="6"/>
        <v>878.96979746802026</v>
      </c>
      <c r="J273" t="str">
        <v>Sundargarh</v>
      </c>
    </row>
    <row r="274" spans="1:10" x14ac:dyDescent="0.2">
      <c r="A274" t="s">
        <v>753</v>
      </c>
      <c r="B274" t="s">
        <v>776</v>
      </c>
      <c r="C274" s="1" t="s">
        <v>777</v>
      </c>
      <c r="D274" s="1" t="s">
        <v>778</v>
      </c>
      <c r="E274">
        <f t="shared" si="6"/>
        <v>449.14192658890823</v>
      </c>
      <c r="J274" t="str">
        <v>Amritsar</v>
      </c>
    </row>
    <row r="275" spans="1:10" x14ac:dyDescent="0.2">
      <c r="A275" t="s">
        <v>753</v>
      </c>
      <c r="B275" t="s">
        <v>779</v>
      </c>
      <c r="C275" s="1" t="s">
        <v>780</v>
      </c>
      <c r="D275" s="1" t="s">
        <v>781</v>
      </c>
      <c r="E275">
        <f t="shared" si="6"/>
        <v>735.20161269004382</v>
      </c>
      <c r="J275" t="str">
        <v>Bathinda</v>
      </c>
    </row>
    <row r="276" spans="1:10" x14ac:dyDescent="0.2">
      <c r="A276" t="s">
        <v>753</v>
      </c>
      <c r="B276" t="s">
        <v>782</v>
      </c>
      <c r="C276" s="1" t="s">
        <v>783</v>
      </c>
      <c r="D276" s="1" t="s">
        <v>784</v>
      </c>
      <c r="E276">
        <f t="shared" si="6"/>
        <v>564.48126835392577</v>
      </c>
      <c r="J276" t="str">
        <v>Faridkot</v>
      </c>
    </row>
    <row r="277" spans="1:10" x14ac:dyDescent="0.2">
      <c r="A277" t="s">
        <v>753</v>
      </c>
      <c r="B277" t="s">
        <v>785</v>
      </c>
      <c r="C277" s="1" t="s">
        <v>786</v>
      </c>
      <c r="D277" s="1" t="s">
        <v>787</v>
      </c>
      <c r="E277">
        <f t="shared" si="6"/>
        <v>329.11769813323127</v>
      </c>
      <c r="J277" t="str">
        <v>Fatehgarh Sahib</v>
      </c>
    </row>
    <row r="278" spans="1:10" x14ac:dyDescent="0.2">
      <c r="A278" t="s">
        <v>753</v>
      </c>
      <c r="B278" t="s">
        <v>788</v>
      </c>
      <c r="C278">
        <v>22.785111002132201</v>
      </c>
      <c r="D278" s="1" t="s">
        <v>789</v>
      </c>
      <c r="E278">
        <f t="shared" si="6"/>
        <v>722.74752722912331</v>
      </c>
      <c r="J278" t="str">
        <v>Firozpur</v>
      </c>
    </row>
    <row r="279" spans="1:10" x14ac:dyDescent="0.2">
      <c r="A279" t="s">
        <v>753</v>
      </c>
      <c r="B279" t="s">
        <v>790</v>
      </c>
      <c r="C279" s="1" t="s">
        <v>791</v>
      </c>
      <c r="D279">
        <v>75.110562073669797</v>
      </c>
      <c r="E279">
        <f t="shared" si="6"/>
        <v>802.97151102227895</v>
      </c>
      <c r="J279" t="str">
        <v>Gurdaspur</v>
      </c>
    </row>
    <row r="280" spans="1:10" x14ac:dyDescent="0.2">
      <c r="A280" t="s">
        <v>753</v>
      </c>
      <c r="B280" t="s">
        <v>792</v>
      </c>
      <c r="C280" s="1" t="s">
        <v>793</v>
      </c>
      <c r="D280" s="1" t="s">
        <v>794</v>
      </c>
      <c r="E280">
        <f t="shared" si="6"/>
        <v>694.0975208508471</v>
      </c>
      <c r="J280" t="str">
        <v>Hoshiarpur</v>
      </c>
    </row>
    <row r="281" spans="1:10" x14ac:dyDescent="0.2">
      <c r="A281" t="s">
        <v>753</v>
      </c>
      <c r="B281" t="s">
        <v>795</v>
      </c>
      <c r="C281" s="1" t="s">
        <v>796</v>
      </c>
      <c r="D281" s="1" t="s">
        <v>797</v>
      </c>
      <c r="E281">
        <f t="shared" si="6"/>
        <v>791.25616105740551</v>
      </c>
      <c r="J281" t="str">
        <v>Jalandhar</v>
      </c>
    </row>
    <row r="282" spans="1:10" x14ac:dyDescent="0.2">
      <c r="A282" t="s">
        <v>753</v>
      </c>
      <c r="B282" t="s">
        <v>798</v>
      </c>
      <c r="C282" s="1" t="s">
        <v>799</v>
      </c>
      <c r="D282">
        <v>77.223589596879094</v>
      </c>
      <c r="E282">
        <f t="shared" si="6"/>
        <v>517.88611629445904</v>
      </c>
      <c r="J282" t="str">
        <v>Kapurthala</v>
      </c>
    </row>
    <row r="283" spans="1:10" x14ac:dyDescent="0.2">
      <c r="A283" t="s">
        <v>753</v>
      </c>
      <c r="B283" t="s">
        <v>800</v>
      </c>
      <c r="C283" s="1" t="s">
        <v>801</v>
      </c>
      <c r="D283" s="1" t="s">
        <v>802</v>
      </c>
      <c r="E283">
        <f t="shared" si="6"/>
        <v>325.19226566678822</v>
      </c>
      <c r="J283" t="str">
        <v>Ludhiana</v>
      </c>
    </row>
    <row r="284" spans="1:10" x14ac:dyDescent="0.2">
      <c r="A284" t="s">
        <v>753</v>
      </c>
      <c r="B284" t="s">
        <v>803</v>
      </c>
      <c r="C284" s="1" t="s">
        <v>804</v>
      </c>
      <c r="D284" s="1" t="s">
        <v>805</v>
      </c>
      <c r="E284">
        <f t="shared" si="6"/>
        <v>762.34579912884851</v>
      </c>
      <c r="J284" t="str">
        <v>Mansa</v>
      </c>
    </row>
    <row r="285" spans="1:10" x14ac:dyDescent="0.2">
      <c r="A285" t="s">
        <v>753</v>
      </c>
      <c r="B285" t="s">
        <v>806</v>
      </c>
      <c r="C285" s="1" t="s">
        <v>807</v>
      </c>
      <c r="D285" s="1" t="s">
        <v>808</v>
      </c>
      <c r="E285">
        <f t="shared" si="6"/>
        <v>702.04295626711405</v>
      </c>
      <c r="J285" t="str">
        <v>Moga</v>
      </c>
    </row>
    <row r="286" spans="1:10" x14ac:dyDescent="0.2">
      <c r="A286" t="s">
        <v>753</v>
      </c>
      <c r="B286" t="s">
        <v>809</v>
      </c>
      <c r="C286" s="1" t="s">
        <v>810</v>
      </c>
      <c r="D286">
        <v>75.9133801324502</v>
      </c>
      <c r="E286">
        <f t="shared" si="6"/>
        <v>755.16887956258245</v>
      </c>
      <c r="J286" t="str">
        <v>Muktsar</v>
      </c>
    </row>
    <row r="287" spans="1:10" x14ac:dyDescent="0.2">
      <c r="A287" t="s">
        <v>753</v>
      </c>
      <c r="B287" t="s">
        <v>811</v>
      </c>
      <c r="C287" s="1" t="s">
        <v>812</v>
      </c>
      <c r="D287" s="1" t="s">
        <v>813</v>
      </c>
      <c r="E287">
        <f t="shared" si="6"/>
        <v>633.96925446712419</v>
      </c>
      <c r="J287" t="str">
        <v>Nawan Shehar</v>
      </c>
    </row>
    <row r="288" spans="1:10" x14ac:dyDescent="0.2">
      <c r="A288" t="s">
        <v>753</v>
      </c>
      <c r="B288" t="s">
        <v>814</v>
      </c>
      <c r="C288" s="1" t="s">
        <v>815</v>
      </c>
      <c r="D288" s="1" t="s">
        <v>816</v>
      </c>
      <c r="E288">
        <f t="shared" si="6"/>
        <v>854.49208246176863</v>
      </c>
      <c r="J288" t="str">
        <v>Patiala</v>
      </c>
    </row>
    <row r="289" spans="1:10" x14ac:dyDescent="0.2">
      <c r="A289" t="s">
        <v>753</v>
      </c>
      <c r="B289" t="s">
        <v>817</v>
      </c>
      <c r="C289" s="1" t="s">
        <v>818</v>
      </c>
      <c r="D289" s="1" t="s">
        <v>819</v>
      </c>
      <c r="E289">
        <f t="shared" si="6"/>
        <v>581.02744087482915</v>
      </c>
      <c r="J289" t="str">
        <v>Rupnagar</v>
      </c>
    </row>
    <row r="290" spans="1:10" x14ac:dyDescent="0.2">
      <c r="A290" t="s">
        <v>753</v>
      </c>
      <c r="B290" t="s">
        <v>820</v>
      </c>
      <c r="C290" s="1" t="s">
        <v>821</v>
      </c>
      <c r="D290" s="1" t="s">
        <v>822</v>
      </c>
      <c r="E290">
        <f t="shared" si="6"/>
        <v>693.36926002200062</v>
      </c>
      <c r="J290" t="str">
        <v>Sangrur</v>
      </c>
    </row>
    <row r="291" spans="1:10" x14ac:dyDescent="0.2">
      <c r="A291" t="s">
        <v>753</v>
      </c>
      <c r="B291" t="s">
        <v>823</v>
      </c>
      <c r="C291" s="1" t="s">
        <v>824</v>
      </c>
      <c r="D291" s="1" t="s">
        <v>825</v>
      </c>
      <c r="E291">
        <f t="shared" si="6"/>
        <v>632.18216628692926</v>
      </c>
      <c r="J291" t="str">
        <v>Ajmer</v>
      </c>
    </row>
    <row r="292" spans="1:10" x14ac:dyDescent="0.2">
      <c r="A292" t="s">
        <v>753</v>
      </c>
      <c r="B292" t="s">
        <v>826</v>
      </c>
      <c r="C292" s="1" t="s">
        <v>827</v>
      </c>
      <c r="D292" s="1" t="s">
        <v>828</v>
      </c>
      <c r="E292">
        <f t="shared" si="6"/>
        <v>298.92457057299441</v>
      </c>
      <c r="J292" t="str">
        <v>Alwar</v>
      </c>
    </row>
    <row r="293" spans="1:10" x14ac:dyDescent="0.2">
      <c r="A293" t="s">
        <v>753</v>
      </c>
      <c r="B293" t="s">
        <v>829</v>
      </c>
      <c r="C293" s="1" t="s">
        <v>830</v>
      </c>
      <c r="D293">
        <v>79.002024233129006</v>
      </c>
      <c r="E293">
        <f t="shared" si="6"/>
        <v>654.03745809956138</v>
      </c>
      <c r="J293" t="str">
        <v>Banswara</v>
      </c>
    </row>
    <row r="294" spans="1:10" x14ac:dyDescent="0.2">
      <c r="A294" t="s">
        <v>753</v>
      </c>
      <c r="B294" t="s">
        <v>831</v>
      </c>
      <c r="C294" s="1" t="s">
        <v>832</v>
      </c>
      <c r="D294" s="1" t="s">
        <v>833</v>
      </c>
      <c r="E294">
        <f t="shared" si="6"/>
        <v>609.80099742118739</v>
      </c>
      <c r="J294" t="str">
        <v>Baran</v>
      </c>
    </row>
    <row r="295" spans="1:10" x14ac:dyDescent="0.2">
      <c r="A295" t="s">
        <v>753</v>
      </c>
      <c r="B295" t="s">
        <v>834</v>
      </c>
      <c r="C295" s="1" t="s">
        <v>835</v>
      </c>
      <c r="D295" s="1" t="s">
        <v>836</v>
      </c>
      <c r="E295">
        <f t="shared" si="6"/>
        <v>499.29900359694199</v>
      </c>
      <c r="J295" t="str">
        <v>Barmer</v>
      </c>
    </row>
    <row r="296" spans="1:10" x14ac:dyDescent="0.2">
      <c r="A296" t="s">
        <v>753</v>
      </c>
      <c r="B296" t="s">
        <v>837</v>
      </c>
      <c r="C296" s="1" t="s">
        <v>838</v>
      </c>
      <c r="D296" s="1" t="s">
        <v>839</v>
      </c>
      <c r="E296">
        <f t="shared" si="6"/>
        <v>623.21865650491975</v>
      </c>
      <c r="J296" t="str">
        <v>Bharatpur</v>
      </c>
    </row>
    <row r="297" spans="1:10" x14ac:dyDescent="0.2">
      <c r="A297" t="s">
        <v>753</v>
      </c>
      <c r="B297" t="s">
        <v>840</v>
      </c>
      <c r="C297" s="1" t="s">
        <v>841</v>
      </c>
      <c r="D297" s="1" t="s">
        <v>842</v>
      </c>
      <c r="E297">
        <f t="shared" si="6"/>
        <v>611.79131219673309</v>
      </c>
      <c r="J297" t="str">
        <v>Bhilwara</v>
      </c>
    </row>
    <row r="298" spans="1:10" x14ac:dyDescent="0.2">
      <c r="A298" t="s">
        <v>753</v>
      </c>
      <c r="B298" t="s">
        <v>843</v>
      </c>
      <c r="C298" s="1" t="s">
        <v>844</v>
      </c>
      <c r="D298" s="1" t="s">
        <v>845</v>
      </c>
      <c r="E298">
        <f t="shared" si="6"/>
        <v>712.14500126727285</v>
      </c>
      <c r="J298" t="str">
        <v>Bikaner</v>
      </c>
    </row>
    <row r="299" spans="1:10" x14ac:dyDescent="0.2">
      <c r="A299" t="s">
        <v>753</v>
      </c>
      <c r="B299" t="s">
        <v>846</v>
      </c>
      <c r="C299" s="1" t="s">
        <v>847</v>
      </c>
      <c r="D299" s="1" t="s">
        <v>848</v>
      </c>
      <c r="E299">
        <f t="shared" si="6"/>
        <v>504.78170856955552</v>
      </c>
      <c r="J299" t="str">
        <v>Bundi</v>
      </c>
    </row>
    <row r="300" spans="1:10" x14ac:dyDescent="0.2">
      <c r="A300" t="s">
        <v>753</v>
      </c>
      <c r="B300" t="s">
        <v>849</v>
      </c>
      <c r="C300" s="1" t="s">
        <v>850</v>
      </c>
      <c r="D300" s="1" t="s">
        <v>851</v>
      </c>
      <c r="E300">
        <f t="shared" si="6"/>
        <v>560.89678791810172</v>
      </c>
      <c r="J300" t="str">
        <v>Chittaurgarh</v>
      </c>
    </row>
    <row r="301" spans="1:10" x14ac:dyDescent="0.2">
      <c r="A301" t="s">
        <v>753</v>
      </c>
      <c r="B301" t="s">
        <v>852</v>
      </c>
      <c r="C301" s="1" t="s">
        <v>853</v>
      </c>
      <c r="D301" s="1" t="s">
        <v>854</v>
      </c>
      <c r="E301">
        <f t="shared" si="6"/>
        <v>495.25976885027779</v>
      </c>
      <c r="J301" t="str">
        <v>Churu</v>
      </c>
    </row>
    <row r="302" spans="1:10" x14ac:dyDescent="0.2">
      <c r="A302" t="s">
        <v>753</v>
      </c>
      <c r="B302" t="s">
        <v>855</v>
      </c>
      <c r="C302" s="1" t="s">
        <v>856</v>
      </c>
      <c r="D302" s="1" t="s">
        <v>857</v>
      </c>
      <c r="E302">
        <f t="shared" si="6"/>
        <v>687.36277867440094</v>
      </c>
      <c r="J302" t="str">
        <v>Dausa</v>
      </c>
    </row>
    <row r="303" spans="1:10" x14ac:dyDescent="0.2">
      <c r="A303" t="s">
        <v>753</v>
      </c>
      <c r="B303" t="s">
        <v>858</v>
      </c>
      <c r="C303" s="1" t="s">
        <v>859</v>
      </c>
      <c r="D303" s="1" t="s">
        <v>860</v>
      </c>
      <c r="E303">
        <f t="shared" si="6"/>
        <v>724.88675881468271</v>
      </c>
      <c r="J303" t="str">
        <v>Dhaulpur</v>
      </c>
    </row>
    <row r="304" spans="1:10" x14ac:dyDescent="0.2">
      <c r="A304" t="s">
        <v>753</v>
      </c>
      <c r="B304" t="s">
        <v>861</v>
      </c>
      <c r="C304" s="1" t="s">
        <v>862</v>
      </c>
      <c r="D304">
        <v>81.459683182844202</v>
      </c>
      <c r="E304">
        <f t="shared" si="6"/>
        <v>642.91702957814562</v>
      </c>
      <c r="J304" t="str">
        <v>Dungarpur</v>
      </c>
    </row>
    <row r="305" spans="1:10" x14ac:dyDescent="0.2">
      <c r="A305" t="s">
        <v>753</v>
      </c>
      <c r="B305" t="s">
        <v>863</v>
      </c>
      <c r="C305" s="1" t="s">
        <v>864</v>
      </c>
      <c r="D305" s="1" t="s">
        <v>865</v>
      </c>
      <c r="E305">
        <f t="shared" si="6"/>
        <v>647.58324183159891</v>
      </c>
      <c r="J305" t="str">
        <v>Ganganagar</v>
      </c>
    </row>
    <row r="306" spans="1:10" x14ac:dyDescent="0.2">
      <c r="A306" t="s">
        <v>753</v>
      </c>
      <c r="B306" t="s">
        <v>866</v>
      </c>
      <c r="C306" s="1" t="s">
        <v>867</v>
      </c>
      <c r="D306" s="1" t="s">
        <v>868</v>
      </c>
      <c r="E306">
        <f t="shared" si="6"/>
        <v>389.79789555997831</v>
      </c>
      <c r="J306" t="str">
        <v>Hanumangarh</v>
      </c>
    </row>
    <row r="307" spans="1:10" x14ac:dyDescent="0.2">
      <c r="A307" t="s">
        <v>753</v>
      </c>
      <c r="B307" t="s">
        <v>869</v>
      </c>
      <c r="C307" s="1" t="s">
        <v>870</v>
      </c>
      <c r="D307" s="1" t="s">
        <v>871</v>
      </c>
      <c r="E307">
        <f t="shared" si="6"/>
        <v>407.04565762526528</v>
      </c>
      <c r="J307" t="str">
        <v>Jaipur</v>
      </c>
    </row>
    <row r="308" spans="1:10" x14ac:dyDescent="0.2">
      <c r="A308" t="s">
        <v>753</v>
      </c>
      <c r="B308" t="s">
        <v>872</v>
      </c>
      <c r="C308" s="1" t="s">
        <v>873</v>
      </c>
      <c r="D308">
        <v>82.105378335949794</v>
      </c>
      <c r="E308">
        <f t="shared" si="6"/>
        <v>597.42573402903508</v>
      </c>
      <c r="J308" t="str">
        <v>Jaisalmer</v>
      </c>
    </row>
    <row r="309" spans="1:10" x14ac:dyDescent="0.2">
      <c r="A309" t="s">
        <v>753</v>
      </c>
      <c r="B309" t="s">
        <v>874</v>
      </c>
      <c r="C309" s="1" t="s">
        <v>875</v>
      </c>
      <c r="D309" s="1" t="s">
        <v>876</v>
      </c>
      <c r="E309">
        <f t="shared" si="6"/>
        <v>411.02869162359309</v>
      </c>
      <c r="J309" t="str">
        <v>Jalor</v>
      </c>
    </row>
    <row r="310" spans="1:10" x14ac:dyDescent="0.2">
      <c r="A310" t="s">
        <v>753</v>
      </c>
      <c r="B310" t="s">
        <v>877</v>
      </c>
      <c r="C310" s="1" t="s">
        <v>878</v>
      </c>
      <c r="D310" s="1" t="s">
        <v>879</v>
      </c>
      <c r="E310">
        <f t="shared" si="6"/>
        <v>696.19289342387242</v>
      </c>
      <c r="J310" t="str">
        <v>Jhalawar</v>
      </c>
    </row>
    <row r="311" spans="1:10" x14ac:dyDescent="0.2">
      <c r="A311" t="s">
        <v>753</v>
      </c>
      <c r="B311" t="s">
        <v>880</v>
      </c>
      <c r="C311" s="1" t="s">
        <v>881</v>
      </c>
      <c r="D311" s="1" t="s">
        <v>882</v>
      </c>
      <c r="E311">
        <f t="shared" si="6"/>
        <v>609.26354484203307</v>
      </c>
      <c r="J311" t="str">
        <v>Jhunjhunun</v>
      </c>
    </row>
    <row r="312" spans="1:10" x14ac:dyDescent="0.2">
      <c r="A312" t="s">
        <v>753</v>
      </c>
      <c r="B312" t="s">
        <v>883</v>
      </c>
      <c r="C312" s="1" t="s">
        <v>884</v>
      </c>
      <c r="D312">
        <v>77.901350760456296</v>
      </c>
      <c r="E312">
        <f t="shared" si="6"/>
        <v>569.29580034112632</v>
      </c>
      <c r="J312" t="str">
        <v>Jodhpur</v>
      </c>
    </row>
    <row r="313" spans="1:10" x14ac:dyDescent="0.2">
      <c r="A313" t="s">
        <v>753</v>
      </c>
      <c r="B313" t="s">
        <v>885</v>
      </c>
      <c r="C313" s="1" t="s">
        <v>886</v>
      </c>
      <c r="D313" s="1" t="s">
        <v>887</v>
      </c>
      <c r="E313">
        <f t="shared" si="6"/>
        <v>823.42475866643451</v>
      </c>
      <c r="J313" t="str">
        <v>Karauli</v>
      </c>
    </row>
    <row r="314" spans="1:10" x14ac:dyDescent="0.2">
      <c r="A314" t="s">
        <v>888</v>
      </c>
      <c r="B314" t="s">
        <v>889</v>
      </c>
      <c r="C314" s="1" t="s">
        <v>890</v>
      </c>
      <c r="D314" s="1" t="s">
        <v>891</v>
      </c>
      <c r="E314">
        <f t="shared" si="6"/>
        <v>1159.113432960057</v>
      </c>
      <c r="J314" t="str">
        <v>Kota</v>
      </c>
    </row>
    <row r="315" spans="1:10" x14ac:dyDescent="0.2">
      <c r="A315" t="s">
        <v>888</v>
      </c>
      <c r="B315" t="s">
        <v>892</v>
      </c>
      <c r="C315" s="1" t="s">
        <v>893</v>
      </c>
      <c r="D315" s="1" t="s">
        <v>894</v>
      </c>
      <c r="E315">
        <f t="shared" si="6"/>
        <v>921.21380530396698</v>
      </c>
      <c r="J315" t="str">
        <v>Nagaur</v>
      </c>
    </row>
    <row r="316" spans="1:10" x14ac:dyDescent="0.2">
      <c r="A316" t="s">
        <v>888</v>
      </c>
      <c r="B316" t="s">
        <v>895</v>
      </c>
      <c r="C316" s="1" t="s">
        <v>896</v>
      </c>
      <c r="D316" s="1" t="s">
        <v>897</v>
      </c>
      <c r="E316">
        <f t="shared" si="6"/>
        <v>864.68845775660554</v>
      </c>
      <c r="J316" t="str">
        <v>Pali</v>
      </c>
    </row>
    <row r="317" spans="1:10" x14ac:dyDescent="0.2">
      <c r="A317" t="s">
        <v>888</v>
      </c>
      <c r="B317" t="s">
        <v>193</v>
      </c>
      <c r="C317" s="1" t="s">
        <v>898</v>
      </c>
      <c r="D317" s="1" t="s">
        <v>899</v>
      </c>
      <c r="E317">
        <f t="shared" si="6"/>
        <v>1043.9795308815828</v>
      </c>
      <c r="J317" t="str">
        <v>Rajsamand</v>
      </c>
    </row>
    <row r="318" spans="1:10" x14ac:dyDescent="0.2">
      <c r="A318" t="s">
        <v>888</v>
      </c>
      <c r="B318" t="s">
        <v>900</v>
      </c>
      <c r="C318" s="1" t="s">
        <v>901</v>
      </c>
      <c r="D318" s="1" t="s">
        <v>902</v>
      </c>
      <c r="E318">
        <f t="shared" si="6"/>
        <v>853.32977196153627</v>
      </c>
      <c r="J318" t="str">
        <v>Sawai Madhopur</v>
      </c>
    </row>
    <row r="319" spans="1:10" x14ac:dyDescent="0.2">
      <c r="A319" t="s">
        <v>888</v>
      </c>
      <c r="B319" t="s">
        <v>903</v>
      </c>
      <c r="C319" s="1" t="s">
        <v>904</v>
      </c>
      <c r="D319" s="1" t="s">
        <v>905</v>
      </c>
      <c r="E319">
        <f t="shared" si="6"/>
        <v>1152.0108596525213</v>
      </c>
      <c r="J319" t="str">
        <v>Sikar</v>
      </c>
    </row>
    <row r="320" spans="1:10" x14ac:dyDescent="0.2">
      <c r="A320" t="s">
        <v>888</v>
      </c>
      <c r="B320" t="s">
        <v>906</v>
      </c>
      <c r="C320" s="1" t="s">
        <v>907</v>
      </c>
      <c r="D320" s="1" t="s">
        <v>908</v>
      </c>
      <c r="E320">
        <f t="shared" si="6"/>
        <v>959.16862835517929</v>
      </c>
      <c r="J320" t="str">
        <v>Sirohi</v>
      </c>
    </row>
    <row r="321" spans="1:10" x14ac:dyDescent="0.2">
      <c r="A321" t="s">
        <v>888</v>
      </c>
      <c r="B321" t="s">
        <v>909</v>
      </c>
      <c r="C321" s="1" t="s">
        <v>910</v>
      </c>
      <c r="D321" s="1" t="s">
        <v>911</v>
      </c>
      <c r="E321">
        <f t="shared" si="6"/>
        <v>971.714630898839</v>
      </c>
      <c r="J321" t="str">
        <v>Tonk</v>
      </c>
    </row>
    <row r="322" spans="1:10" x14ac:dyDescent="0.2">
      <c r="A322" t="s">
        <v>888</v>
      </c>
      <c r="B322" t="s">
        <v>912</v>
      </c>
      <c r="C322" s="1" t="s">
        <v>913</v>
      </c>
      <c r="D322" s="1" t="s">
        <v>914</v>
      </c>
      <c r="E322">
        <f t="shared" si="6"/>
        <v>955.71997775452189</v>
      </c>
      <c r="J322" t="str">
        <v>Udaipur</v>
      </c>
    </row>
    <row r="323" spans="1:10" x14ac:dyDescent="0.2">
      <c r="A323" t="s">
        <v>888</v>
      </c>
      <c r="B323" t="s">
        <v>915</v>
      </c>
      <c r="C323" s="1" t="s">
        <v>916</v>
      </c>
      <c r="D323" s="1" t="s">
        <v>917</v>
      </c>
      <c r="E323">
        <f t="shared" si="6"/>
        <v>1012.162291516936</v>
      </c>
      <c r="J323" t="str">
        <v>East</v>
      </c>
    </row>
    <row r="324" spans="1:10" x14ac:dyDescent="0.2">
      <c r="A324" t="s">
        <v>888</v>
      </c>
      <c r="B324" t="s">
        <v>918</v>
      </c>
      <c r="C324" s="1" t="s">
        <v>919</v>
      </c>
      <c r="D324" s="1" t="s">
        <v>920</v>
      </c>
      <c r="E324">
        <f t="shared" si="6"/>
        <v>852.67629480040682</v>
      </c>
      <c r="J324" t="str">
        <v>North Sikkim</v>
      </c>
    </row>
    <row r="325" spans="1:10" x14ac:dyDescent="0.2">
      <c r="A325" t="s">
        <v>888</v>
      </c>
      <c r="B325" t="s">
        <v>921</v>
      </c>
      <c r="C325" s="1" t="s">
        <v>922</v>
      </c>
      <c r="D325" s="1" t="s">
        <v>923</v>
      </c>
      <c r="E325">
        <f t="shared" si="6"/>
        <v>1256.4545129745493</v>
      </c>
      <c r="J325" t="str">
        <v>South Sikkim</v>
      </c>
    </row>
    <row r="326" spans="1:10" x14ac:dyDescent="0.2">
      <c r="A326" t="s">
        <v>888</v>
      </c>
      <c r="B326" t="s">
        <v>924</v>
      </c>
      <c r="C326" s="1" t="s">
        <v>925</v>
      </c>
      <c r="D326" s="1" t="s">
        <v>926</v>
      </c>
      <c r="E326">
        <f t="shared" si="6"/>
        <v>1047.2360865143135</v>
      </c>
      <c r="J326" t="str">
        <v>West Sikkim</v>
      </c>
    </row>
    <row r="327" spans="1:10" x14ac:dyDescent="0.2">
      <c r="A327" t="s">
        <v>888</v>
      </c>
      <c r="B327" t="s">
        <v>927</v>
      </c>
      <c r="C327">
        <v>20.882894341563802</v>
      </c>
      <c r="D327" s="1" t="s">
        <v>928</v>
      </c>
      <c r="E327">
        <f t="shared" si="6"/>
        <v>953.89311087906071</v>
      </c>
      <c r="J327" t="str">
        <v>Agra</v>
      </c>
    </row>
    <row r="328" spans="1:10" x14ac:dyDescent="0.2">
      <c r="A328" t="s">
        <v>888</v>
      </c>
      <c r="B328" t="s">
        <v>929</v>
      </c>
      <c r="C328" s="1" t="s">
        <v>930</v>
      </c>
      <c r="D328" s="1" t="s">
        <v>931</v>
      </c>
      <c r="E328">
        <f t="shared" si="6"/>
        <v>1033.311080949414</v>
      </c>
      <c r="J328" t="str">
        <v>Aligarh</v>
      </c>
    </row>
    <row r="329" spans="1:10" x14ac:dyDescent="0.2">
      <c r="A329" t="s">
        <v>888</v>
      </c>
      <c r="B329" t="s">
        <v>932</v>
      </c>
      <c r="C329" s="1" t="s">
        <v>933</v>
      </c>
      <c r="D329" s="1" t="s">
        <v>934</v>
      </c>
      <c r="E329">
        <f t="shared" si="6"/>
        <v>1468.2745629738522</v>
      </c>
      <c r="J329" t="str">
        <v>Allahabad</v>
      </c>
    </row>
    <row r="330" spans="1:10" x14ac:dyDescent="0.2">
      <c r="A330" t="s">
        <v>888</v>
      </c>
      <c r="B330" t="s">
        <v>935</v>
      </c>
      <c r="C330" s="1" t="s">
        <v>936</v>
      </c>
      <c r="D330" s="1" t="s">
        <v>937</v>
      </c>
      <c r="E330">
        <f t="shared" ref="E330:E393" si="7">(6371*2*ASIN(SQRT(SIN((RADIANS($K$3-C330))/2)^2+COS(RADIANS(C330))*COS(RADIANS($K$3))*SIN((RADIANS($K$4-D330))/2)^2)))</f>
        <v>1190.0104091304702</v>
      </c>
      <c r="J330" t="str">
        <v>Ambedkar Nagar</v>
      </c>
    </row>
    <row r="331" spans="1:10" x14ac:dyDescent="0.2">
      <c r="A331" t="s">
        <v>888</v>
      </c>
      <c r="B331" t="s">
        <v>938</v>
      </c>
      <c r="C331" s="1" t="s">
        <v>939</v>
      </c>
      <c r="D331" s="1" t="s">
        <v>940</v>
      </c>
      <c r="E331">
        <f t="shared" si="7"/>
        <v>849.11857958928817</v>
      </c>
      <c r="J331" t="str">
        <v>Auraiya</v>
      </c>
    </row>
    <row r="332" spans="1:10" x14ac:dyDescent="0.2">
      <c r="A332" t="s">
        <v>888</v>
      </c>
      <c r="B332" t="s">
        <v>941</v>
      </c>
      <c r="C332">
        <v>19.209316983017001</v>
      </c>
      <c r="D332">
        <v>77.682904895104897</v>
      </c>
      <c r="E332">
        <f t="shared" si="7"/>
        <v>1079.7756066976508</v>
      </c>
      <c r="J332" t="str">
        <v>Azamgarh</v>
      </c>
    </row>
    <row r="333" spans="1:10" x14ac:dyDescent="0.2">
      <c r="A333" t="s">
        <v>888</v>
      </c>
      <c r="B333" t="s">
        <v>942</v>
      </c>
      <c r="C333" s="1" t="s">
        <v>943</v>
      </c>
      <c r="D333" s="1" t="s">
        <v>944</v>
      </c>
      <c r="E333">
        <f t="shared" si="7"/>
        <v>944.31125779801391</v>
      </c>
      <c r="J333" t="str">
        <v>Badaun</v>
      </c>
    </row>
    <row r="334" spans="1:10" x14ac:dyDescent="0.2">
      <c r="A334" t="s">
        <v>888</v>
      </c>
      <c r="B334" t="s">
        <v>945</v>
      </c>
      <c r="C334" s="1" t="s">
        <v>946</v>
      </c>
      <c r="D334" s="1" t="s">
        <v>947</v>
      </c>
      <c r="E334">
        <f t="shared" si="7"/>
        <v>1081.4065396343485</v>
      </c>
      <c r="J334" t="str">
        <v>Baghpat</v>
      </c>
    </row>
    <row r="335" spans="1:10" x14ac:dyDescent="0.2">
      <c r="A335" t="s">
        <v>888</v>
      </c>
      <c r="B335" t="s">
        <v>948</v>
      </c>
      <c r="C335" s="1" t="s">
        <v>949</v>
      </c>
      <c r="D335" s="1" t="s">
        <v>950</v>
      </c>
      <c r="E335">
        <f t="shared" si="7"/>
        <v>1224.5816389741012</v>
      </c>
      <c r="J335" t="str">
        <v>Bahraich</v>
      </c>
    </row>
    <row r="336" spans="1:10" x14ac:dyDescent="0.2">
      <c r="A336" t="s">
        <v>888</v>
      </c>
      <c r="B336" t="s">
        <v>951</v>
      </c>
      <c r="C336" s="1" t="s">
        <v>952</v>
      </c>
      <c r="D336" s="1" t="s">
        <v>953</v>
      </c>
      <c r="E336">
        <f t="shared" si="7"/>
        <v>1086.570073665426</v>
      </c>
      <c r="J336" t="str">
        <v>Ballia</v>
      </c>
    </row>
    <row r="337" spans="1:10" x14ac:dyDescent="0.2">
      <c r="A337" t="s">
        <v>888</v>
      </c>
      <c r="B337" t="s">
        <v>954</v>
      </c>
      <c r="C337" s="1" t="s">
        <v>955</v>
      </c>
      <c r="D337" s="1" t="s">
        <v>956</v>
      </c>
      <c r="E337">
        <f t="shared" si="7"/>
        <v>1253.7176796715733</v>
      </c>
      <c r="J337" t="str">
        <v>Balrampur</v>
      </c>
    </row>
    <row r="338" spans="1:10" x14ac:dyDescent="0.2">
      <c r="A338" t="s">
        <v>888</v>
      </c>
      <c r="B338" t="s">
        <v>330</v>
      </c>
      <c r="C338" s="1" t="s">
        <v>957</v>
      </c>
      <c r="D338">
        <v>73.009060941857896</v>
      </c>
      <c r="E338">
        <f t="shared" si="7"/>
        <v>1310.1242841111603</v>
      </c>
      <c r="J338" t="str">
        <v>Banda</v>
      </c>
    </row>
    <row r="339" spans="1:10" x14ac:dyDescent="0.2">
      <c r="A339" t="s">
        <v>888</v>
      </c>
      <c r="B339" t="s">
        <v>958</v>
      </c>
      <c r="C339" s="1" t="s">
        <v>959</v>
      </c>
      <c r="D339" s="1" t="s">
        <v>960</v>
      </c>
      <c r="E339">
        <f t="shared" si="7"/>
        <v>1423.6976963598336</v>
      </c>
      <c r="J339" t="str">
        <v>Bara Banki</v>
      </c>
    </row>
    <row r="340" spans="1:10" x14ac:dyDescent="0.2">
      <c r="A340" t="s">
        <v>888</v>
      </c>
      <c r="B340" t="s">
        <v>961</v>
      </c>
      <c r="C340" s="1" t="s">
        <v>962</v>
      </c>
      <c r="D340" s="1" t="s">
        <v>963</v>
      </c>
      <c r="E340">
        <f t="shared" si="7"/>
        <v>1374.0603441126643</v>
      </c>
      <c r="J340" t="str">
        <v>Bareilly</v>
      </c>
    </row>
    <row r="341" spans="1:10" x14ac:dyDescent="0.2">
      <c r="A341" t="s">
        <v>888</v>
      </c>
      <c r="B341" t="s">
        <v>964</v>
      </c>
      <c r="C341">
        <v>17.6737908974359</v>
      </c>
      <c r="D341" s="1" t="s">
        <v>965</v>
      </c>
      <c r="E341">
        <f t="shared" si="7"/>
        <v>1338.6095551881604</v>
      </c>
      <c r="J341" t="str">
        <v>Basti</v>
      </c>
    </row>
    <row r="342" spans="1:10" x14ac:dyDescent="0.2">
      <c r="A342" t="s">
        <v>888</v>
      </c>
      <c r="B342" t="s">
        <v>966</v>
      </c>
      <c r="C342" s="1" t="s">
        <v>967</v>
      </c>
      <c r="D342" s="1" t="s">
        <v>968</v>
      </c>
      <c r="E342">
        <f t="shared" si="7"/>
        <v>1520.0735588063333</v>
      </c>
      <c r="J342" t="str">
        <v>Bijnor</v>
      </c>
    </row>
    <row r="343" spans="1:10" x14ac:dyDescent="0.2">
      <c r="A343" t="s">
        <v>888</v>
      </c>
      <c r="B343" t="s">
        <v>969</v>
      </c>
      <c r="C343" s="1" t="s">
        <v>970</v>
      </c>
      <c r="D343" s="1" t="s">
        <v>971</v>
      </c>
      <c r="E343">
        <f t="shared" si="7"/>
        <v>1278.9364435345999</v>
      </c>
      <c r="J343" t="str">
        <v>Bulandshahr</v>
      </c>
    </row>
    <row r="344" spans="1:10" x14ac:dyDescent="0.2">
      <c r="A344" t="s">
        <v>888</v>
      </c>
      <c r="B344" t="s">
        <v>972</v>
      </c>
      <c r="C344" s="1" t="s">
        <v>973</v>
      </c>
      <c r="D344" s="1" t="s">
        <v>974</v>
      </c>
      <c r="E344">
        <f t="shared" si="7"/>
        <v>1199.7040147962991</v>
      </c>
      <c r="J344" t="str">
        <v>Chandauli</v>
      </c>
    </row>
    <row r="345" spans="1:10" x14ac:dyDescent="0.2">
      <c r="A345" t="s">
        <v>888</v>
      </c>
      <c r="B345" t="s">
        <v>975</v>
      </c>
      <c r="C345" s="1" t="s">
        <v>976</v>
      </c>
      <c r="D345" s="1" t="s">
        <v>977</v>
      </c>
      <c r="E345">
        <f t="shared" si="7"/>
        <v>893.98216108140878</v>
      </c>
      <c r="J345" t="str">
        <v>Chitrakoot</v>
      </c>
    </row>
    <row r="346" spans="1:10" x14ac:dyDescent="0.2">
      <c r="A346" t="s">
        <v>888</v>
      </c>
      <c r="B346" t="s">
        <v>978</v>
      </c>
      <c r="C346" s="1" t="s">
        <v>979</v>
      </c>
      <c r="D346" s="1" t="s">
        <v>980</v>
      </c>
      <c r="E346">
        <f t="shared" si="7"/>
        <v>969.00861804826138</v>
      </c>
      <c r="J346" t="str">
        <v>Deoria</v>
      </c>
    </row>
    <row r="347" spans="1:10" x14ac:dyDescent="0.2">
      <c r="A347" t="s">
        <v>888</v>
      </c>
      <c r="B347" t="s">
        <v>981</v>
      </c>
      <c r="C347" s="1" t="s">
        <v>982</v>
      </c>
      <c r="D347" s="1" t="s">
        <v>983</v>
      </c>
      <c r="E347">
        <f t="shared" si="7"/>
        <v>983.20421952112702</v>
      </c>
      <c r="J347" t="str">
        <v>Etah</v>
      </c>
    </row>
    <row r="348" spans="1:10" x14ac:dyDescent="0.2">
      <c r="A348" t="s">
        <v>984</v>
      </c>
      <c r="B348" t="s">
        <v>985</v>
      </c>
      <c r="C348" s="1" t="s">
        <v>986</v>
      </c>
      <c r="D348">
        <v>93.824623602484493</v>
      </c>
      <c r="E348">
        <f t="shared" si="7"/>
        <v>1537.854180031688</v>
      </c>
      <c r="J348" t="str">
        <v>Etawah</v>
      </c>
    </row>
    <row r="349" spans="1:10" x14ac:dyDescent="0.2">
      <c r="A349" t="s">
        <v>984</v>
      </c>
      <c r="B349" t="s">
        <v>987</v>
      </c>
      <c r="C349">
        <v>24.2635812987013</v>
      </c>
      <c r="D349" s="1" t="s">
        <v>988</v>
      </c>
      <c r="E349">
        <f t="shared" si="7"/>
        <v>1573.2713663754639</v>
      </c>
      <c r="J349" t="str">
        <v>Faizabad</v>
      </c>
    </row>
    <row r="350" spans="1:10" x14ac:dyDescent="0.2">
      <c r="A350" t="s">
        <v>984</v>
      </c>
      <c r="B350" t="s">
        <v>989</v>
      </c>
      <c r="C350" s="1" t="s">
        <v>990</v>
      </c>
      <c r="D350" s="1" t="s">
        <v>991</v>
      </c>
      <c r="E350">
        <f t="shared" si="7"/>
        <v>1505.2595638649486</v>
      </c>
      <c r="J350" t="str">
        <v>Farrukhabad</v>
      </c>
    </row>
    <row r="351" spans="1:10" x14ac:dyDescent="0.2">
      <c r="A351" t="s">
        <v>984</v>
      </c>
      <c r="B351" t="s">
        <v>992</v>
      </c>
      <c r="C351" s="1" t="s">
        <v>993</v>
      </c>
      <c r="D351" s="1" t="s">
        <v>994</v>
      </c>
      <c r="E351">
        <f t="shared" si="7"/>
        <v>1510.7575542394418</v>
      </c>
      <c r="J351" t="str">
        <v>Fatehpur</v>
      </c>
    </row>
    <row r="352" spans="1:10" x14ac:dyDescent="0.2">
      <c r="A352" t="s">
        <v>984</v>
      </c>
      <c r="B352" t="s">
        <v>995</v>
      </c>
      <c r="C352" s="1" t="s">
        <v>996</v>
      </c>
      <c r="D352" s="1" t="s">
        <v>997</v>
      </c>
      <c r="E352">
        <f t="shared" si="7"/>
        <v>1535.4368384788868</v>
      </c>
      <c r="J352" t="str">
        <v>Firozabad</v>
      </c>
    </row>
    <row r="353" spans="1:10" x14ac:dyDescent="0.2">
      <c r="A353" t="s">
        <v>984</v>
      </c>
      <c r="B353" t="s">
        <v>998</v>
      </c>
      <c r="C353" s="1" t="s">
        <v>999</v>
      </c>
      <c r="D353" s="1" t="s">
        <v>1000</v>
      </c>
      <c r="E353">
        <f t="shared" si="7"/>
        <v>1487.9833080148335</v>
      </c>
      <c r="J353" t="str">
        <v>Gautam Buddha Nagar</v>
      </c>
    </row>
    <row r="354" spans="1:10" x14ac:dyDescent="0.2">
      <c r="A354" t="s">
        <v>984</v>
      </c>
      <c r="B354" t="s">
        <v>1001</v>
      </c>
      <c r="C354" s="1" t="s">
        <v>1002</v>
      </c>
      <c r="D354" s="1" t="s">
        <v>1003</v>
      </c>
      <c r="E354">
        <f t="shared" si="7"/>
        <v>1550.917398256197</v>
      </c>
      <c r="J354" t="str">
        <v>Ghaziabad</v>
      </c>
    </row>
    <row r="355" spans="1:10" x14ac:dyDescent="0.2">
      <c r="A355" t="s">
        <v>984</v>
      </c>
      <c r="B355" t="s">
        <v>1004</v>
      </c>
      <c r="C355" s="1" t="s">
        <v>1005</v>
      </c>
      <c r="D355" s="1" t="s">
        <v>1006</v>
      </c>
      <c r="E355">
        <f t="shared" si="7"/>
        <v>1575.1956842915292</v>
      </c>
      <c r="J355" t="str">
        <v>Ghazipur</v>
      </c>
    </row>
    <row r="356" spans="1:10" x14ac:dyDescent="0.2">
      <c r="A356" t="s">
        <v>984</v>
      </c>
      <c r="B356" t="s">
        <v>1007</v>
      </c>
      <c r="C356" s="1" t="s">
        <v>1008</v>
      </c>
      <c r="D356" s="1" t="s">
        <v>1009</v>
      </c>
      <c r="E356">
        <f t="shared" si="7"/>
        <v>1532.5381382285841</v>
      </c>
      <c r="J356" t="str">
        <v>Gonda</v>
      </c>
    </row>
    <row r="357" spans="1:10" x14ac:dyDescent="0.2">
      <c r="A357" t="s">
        <v>1010</v>
      </c>
      <c r="B357" t="s">
        <v>1011</v>
      </c>
      <c r="C357" s="1" t="s">
        <v>1012</v>
      </c>
      <c r="D357" s="1" t="s">
        <v>1013</v>
      </c>
      <c r="E357">
        <f t="shared" si="7"/>
        <v>1187.0307518389527</v>
      </c>
      <c r="J357" t="str">
        <v>Gorakhpur</v>
      </c>
    </row>
    <row r="358" spans="1:10" x14ac:dyDescent="0.2">
      <c r="A358" t="s">
        <v>1010</v>
      </c>
      <c r="B358" t="s">
        <v>1014</v>
      </c>
      <c r="C358" s="1" t="s">
        <v>1015</v>
      </c>
      <c r="D358" s="1" t="s">
        <v>1016</v>
      </c>
      <c r="E358">
        <f t="shared" si="7"/>
        <v>1311.6693468291382</v>
      </c>
      <c r="J358" t="str">
        <v>Hamirpur</v>
      </c>
    </row>
    <row r="359" spans="1:10" x14ac:dyDescent="0.2">
      <c r="A359" t="s">
        <v>1010</v>
      </c>
      <c r="B359" t="s">
        <v>1017</v>
      </c>
      <c r="C359" s="1" t="s">
        <v>1018</v>
      </c>
      <c r="D359" s="1" t="s">
        <v>1019</v>
      </c>
      <c r="E359">
        <f t="shared" si="7"/>
        <v>1368.6472931427302</v>
      </c>
      <c r="J359" t="str">
        <v>Hardoi</v>
      </c>
    </row>
    <row r="360" spans="1:10" x14ac:dyDescent="0.2">
      <c r="A360" t="s">
        <v>1010</v>
      </c>
      <c r="B360" t="s">
        <v>1020</v>
      </c>
      <c r="C360" s="1" t="s">
        <v>1021</v>
      </c>
      <c r="D360">
        <v>91.845161589403901</v>
      </c>
      <c r="E360">
        <f t="shared" si="7"/>
        <v>1298.5388401876669</v>
      </c>
      <c r="J360" t="str">
        <v>Hathras</v>
      </c>
    </row>
    <row r="361" spans="1:10" x14ac:dyDescent="0.2">
      <c r="A361" t="s">
        <v>1010</v>
      </c>
      <c r="B361" t="s">
        <v>1022</v>
      </c>
      <c r="C361" s="1" t="s">
        <v>1023</v>
      </c>
      <c r="D361" s="1" t="s">
        <v>1024</v>
      </c>
      <c r="E361">
        <f t="shared" si="7"/>
        <v>1209.65035228286</v>
      </c>
      <c r="J361" t="str">
        <v>Jalaun</v>
      </c>
    </row>
    <row r="362" spans="1:10" x14ac:dyDescent="0.2">
      <c r="A362" t="s">
        <v>1010</v>
      </c>
      <c r="B362" t="s">
        <v>1025</v>
      </c>
      <c r="C362" s="1" t="s">
        <v>1026</v>
      </c>
      <c r="D362" s="1" t="s">
        <v>1027</v>
      </c>
      <c r="E362">
        <f t="shared" si="7"/>
        <v>1142.3781814695647</v>
      </c>
      <c r="J362" t="str">
        <v>Jaunpur</v>
      </c>
    </row>
    <row r="363" spans="1:10" x14ac:dyDescent="0.2">
      <c r="A363" t="s">
        <v>1010</v>
      </c>
      <c r="B363" t="s">
        <v>1028</v>
      </c>
      <c r="C363" s="1" t="s">
        <v>1029</v>
      </c>
      <c r="D363" s="1" t="s">
        <v>1030</v>
      </c>
      <c r="E363">
        <f t="shared" si="7"/>
        <v>1256.4504289035531</v>
      </c>
      <c r="J363" t="str">
        <v>Jhansi</v>
      </c>
    </row>
    <row r="364" spans="1:10" x14ac:dyDescent="0.2">
      <c r="A364" t="s">
        <v>1031</v>
      </c>
      <c r="B364" t="s">
        <v>1032</v>
      </c>
      <c r="C364" s="1" t="s">
        <v>1033</v>
      </c>
      <c r="D364" s="1" t="s">
        <v>1034</v>
      </c>
      <c r="E364">
        <f t="shared" si="7"/>
        <v>1473.3744738554904</v>
      </c>
      <c r="J364" t="str">
        <v>Jyotiba Phule Nagar</v>
      </c>
    </row>
    <row r="365" spans="1:10" x14ac:dyDescent="0.2">
      <c r="A365" t="s">
        <v>1031</v>
      </c>
      <c r="B365" t="s">
        <v>1035</v>
      </c>
      <c r="C365" s="1" t="s">
        <v>1036</v>
      </c>
      <c r="D365" s="1" t="s">
        <v>1037</v>
      </c>
      <c r="E365">
        <f t="shared" si="7"/>
        <v>1526.5123715945274</v>
      </c>
      <c r="J365" t="str">
        <v>Kannauj</v>
      </c>
    </row>
    <row r="366" spans="1:10" x14ac:dyDescent="0.2">
      <c r="A366" t="s">
        <v>1031</v>
      </c>
      <c r="B366" t="s">
        <v>1038</v>
      </c>
      <c r="C366" s="1" t="s">
        <v>1039</v>
      </c>
      <c r="D366" s="1" t="s">
        <v>1040</v>
      </c>
      <c r="E366">
        <f t="shared" si="7"/>
        <v>1448.926636374528</v>
      </c>
      <c r="J366" t="str">
        <v>Kanpur Dehat</v>
      </c>
    </row>
    <row r="367" spans="1:10" x14ac:dyDescent="0.2">
      <c r="A367" t="s">
        <v>1031</v>
      </c>
      <c r="B367" t="s">
        <v>1041</v>
      </c>
      <c r="C367" s="1" t="s">
        <v>1042</v>
      </c>
      <c r="D367" s="1" t="s">
        <v>1043</v>
      </c>
      <c r="E367">
        <f t="shared" si="7"/>
        <v>1536.8632475374047</v>
      </c>
      <c r="J367" t="str">
        <v>Kanpur</v>
      </c>
    </row>
    <row r="368" spans="1:10" x14ac:dyDescent="0.2">
      <c r="A368" t="s">
        <v>1031</v>
      </c>
      <c r="B368" t="s">
        <v>1044</v>
      </c>
      <c r="C368" s="1" t="s">
        <v>1045</v>
      </c>
      <c r="D368" s="1" t="s">
        <v>1046</v>
      </c>
      <c r="E368">
        <f t="shared" si="7"/>
        <v>1498.2831387490776</v>
      </c>
      <c r="J368" t="str">
        <v>Kaushambi</v>
      </c>
    </row>
    <row r="369" spans="1:10" x14ac:dyDescent="0.2">
      <c r="A369" t="s">
        <v>1031</v>
      </c>
      <c r="B369" t="s">
        <v>1047</v>
      </c>
      <c r="C369" s="1" t="s">
        <v>1048</v>
      </c>
      <c r="D369">
        <v>92.433080383314703</v>
      </c>
      <c r="E369">
        <f t="shared" si="7"/>
        <v>1442.7820913528881</v>
      </c>
      <c r="J369" t="str">
        <v>Kushinagar</v>
      </c>
    </row>
    <row r="370" spans="1:10" x14ac:dyDescent="0.2">
      <c r="A370" t="s">
        <v>1031</v>
      </c>
      <c r="B370" t="s">
        <v>1049</v>
      </c>
      <c r="C370" s="1" t="s">
        <v>1050</v>
      </c>
      <c r="D370" s="1" t="s">
        <v>1051</v>
      </c>
      <c r="E370">
        <f t="shared" si="7"/>
        <v>1568.8607138071618</v>
      </c>
      <c r="J370" t="str">
        <v>Lakhimpur Kheri</v>
      </c>
    </row>
    <row r="371" spans="1:10" x14ac:dyDescent="0.2">
      <c r="A371" t="s">
        <v>1031</v>
      </c>
      <c r="B371" t="s">
        <v>1052</v>
      </c>
      <c r="C371" s="1" t="s">
        <v>1053</v>
      </c>
      <c r="D371" s="1" t="s">
        <v>1054</v>
      </c>
      <c r="E371">
        <f t="shared" si="7"/>
        <v>1510.2531377501014</v>
      </c>
      <c r="J371" t="str">
        <v>Lalitpur</v>
      </c>
    </row>
    <row r="372" spans="1:10" x14ac:dyDescent="0.2">
      <c r="A372" t="s">
        <v>1055</v>
      </c>
      <c r="B372" t="s">
        <v>1056</v>
      </c>
      <c r="C372" s="1" t="s">
        <v>1057</v>
      </c>
      <c r="D372" s="1" t="s">
        <v>1058</v>
      </c>
      <c r="E372">
        <f t="shared" si="7"/>
        <v>1483.6883405553442</v>
      </c>
      <c r="J372" t="str">
        <v>Lucknow</v>
      </c>
    </row>
    <row r="373" spans="1:10" x14ac:dyDescent="0.2">
      <c r="A373" t="s">
        <v>1055</v>
      </c>
      <c r="B373" t="s">
        <v>1059</v>
      </c>
      <c r="C373" s="1" t="s">
        <v>1060</v>
      </c>
      <c r="D373" s="1" t="s">
        <v>1061</v>
      </c>
      <c r="E373">
        <f t="shared" si="7"/>
        <v>1493.8477162680406</v>
      </c>
      <c r="J373" t="str">
        <v>Maharajganj</v>
      </c>
    </row>
    <row r="374" spans="1:10" x14ac:dyDescent="0.2">
      <c r="A374" t="s">
        <v>1055</v>
      </c>
      <c r="B374" t="s">
        <v>1062</v>
      </c>
      <c r="C374" s="1" t="s">
        <v>1063</v>
      </c>
      <c r="D374">
        <v>94.522426006192006</v>
      </c>
      <c r="E374">
        <f t="shared" si="7"/>
        <v>1539.23500526821</v>
      </c>
      <c r="J374" t="str">
        <v>Mahoba</v>
      </c>
    </row>
    <row r="375" spans="1:10" x14ac:dyDescent="0.2">
      <c r="A375" t="s">
        <v>1055</v>
      </c>
      <c r="B375" t="s">
        <v>1064</v>
      </c>
      <c r="C375" s="1" t="s">
        <v>1065</v>
      </c>
      <c r="D375" s="1" t="s">
        <v>1066</v>
      </c>
      <c r="E375">
        <f t="shared" si="7"/>
        <v>1583.2665961754685</v>
      </c>
      <c r="J375" t="str">
        <v>Mainpuri</v>
      </c>
    </row>
    <row r="376" spans="1:10" x14ac:dyDescent="0.2">
      <c r="A376" t="s">
        <v>1055</v>
      </c>
      <c r="B376" t="s">
        <v>1067</v>
      </c>
      <c r="C376" s="1" t="s">
        <v>1068</v>
      </c>
      <c r="D376" s="1" t="s">
        <v>1069</v>
      </c>
      <c r="E376">
        <f t="shared" si="7"/>
        <v>1567.9320798594813</v>
      </c>
      <c r="J376" t="str">
        <v>Mathura</v>
      </c>
    </row>
    <row r="377" spans="1:10" x14ac:dyDescent="0.2">
      <c r="A377" t="s">
        <v>1055</v>
      </c>
      <c r="B377" t="s">
        <v>1070</v>
      </c>
      <c r="C377" s="1" t="s">
        <v>1071</v>
      </c>
      <c r="D377" s="1" t="s">
        <v>1072</v>
      </c>
      <c r="E377">
        <f t="shared" si="7"/>
        <v>1578.8125877864925</v>
      </c>
      <c r="J377" t="str">
        <v>Mau</v>
      </c>
    </row>
    <row r="378" spans="1:10" x14ac:dyDescent="0.2">
      <c r="A378" t="s">
        <v>1055</v>
      </c>
      <c r="B378" t="s">
        <v>1073</v>
      </c>
      <c r="C378" s="1" t="s">
        <v>1074</v>
      </c>
      <c r="D378" s="1" t="s">
        <v>1075</v>
      </c>
      <c r="E378">
        <f t="shared" si="7"/>
        <v>1515.360511241732</v>
      </c>
      <c r="J378" t="str">
        <v>Meerut</v>
      </c>
    </row>
    <row r="379" spans="1:10" x14ac:dyDescent="0.2">
      <c r="A379" t="s">
        <v>1055</v>
      </c>
      <c r="B379" t="s">
        <v>1076</v>
      </c>
      <c r="C379" s="1" t="s">
        <v>1077</v>
      </c>
      <c r="D379" s="1" t="s">
        <v>1078</v>
      </c>
      <c r="E379">
        <f t="shared" si="7"/>
        <v>1549.3939174588147</v>
      </c>
      <c r="J379" t="str">
        <v>Mirzapur</v>
      </c>
    </row>
    <row r="380" spans="1:10" x14ac:dyDescent="0.2">
      <c r="A380" t="s">
        <v>1079</v>
      </c>
      <c r="B380" t="s">
        <v>1080</v>
      </c>
      <c r="C380" s="1" t="s">
        <v>1081</v>
      </c>
      <c r="D380" s="1" t="s">
        <v>1082</v>
      </c>
      <c r="E380">
        <f t="shared" si="7"/>
        <v>1042.4413630638107</v>
      </c>
      <c r="J380" t="str">
        <v>Moradabad</v>
      </c>
    </row>
    <row r="381" spans="1:10" x14ac:dyDescent="0.2">
      <c r="A381" t="s">
        <v>1079</v>
      </c>
      <c r="B381" t="s">
        <v>1083</v>
      </c>
      <c r="C381" s="1" t="s">
        <v>1084</v>
      </c>
      <c r="D381" s="1" t="s">
        <v>1085</v>
      </c>
      <c r="E381">
        <f t="shared" si="7"/>
        <v>1144.2554123415639</v>
      </c>
      <c r="J381" t="str">
        <v>Muzaffarnagar</v>
      </c>
    </row>
    <row r="382" spans="1:10" x14ac:dyDescent="0.2">
      <c r="A382" t="s">
        <v>1079</v>
      </c>
      <c r="B382" t="s">
        <v>1086</v>
      </c>
      <c r="C382" s="1" t="s">
        <v>1087</v>
      </c>
      <c r="D382" s="1" t="s">
        <v>1088</v>
      </c>
      <c r="E382">
        <f t="shared" si="7"/>
        <v>952.88679530599836</v>
      </c>
      <c r="J382" t="str">
        <v>Pilibhit</v>
      </c>
    </row>
    <row r="383" spans="1:10" x14ac:dyDescent="0.2">
      <c r="A383" t="s">
        <v>1079</v>
      </c>
      <c r="B383" t="s">
        <v>1089</v>
      </c>
      <c r="C383" s="1" t="s">
        <v>1090</v>
      </c>
      <c r="D383" s="1" t="s">
        <v>1091</v>
      </c>
      <c r="E383">
        <f t="shared" si="7"/>
        <v>1170.4705446920645</v>
      </c>
      <c r="J383" t="str">
        <v>Pratapgarh</v>
      </c>
    </row>
    <row r="384" spans="1:10" x14ac:dyDescent="0.2">
      <c r="A384" t="s">
        <v>1079</v>
      </c>
      <c r="B384" t="s">
        <v>1092</v>
      </c>
      <c r="C384" s="1" t="s">
        <v>1093</v>
      </c>
      <c r="D384" s="1" t="s">
        <v>1094</v>
      </c>
      <c r="E384">
        <f t="shared" si="7"/>
        <v>1003.0440221755293</v>
      </c>
      <c r="J384" t="str">
        <v>Rae Bareli</v>
      </c>
    </row>
    <row r="385" spans="1:10" x14ac:dyDescent="0.2">
      <c r="A385" t="s">
        <v>1079</v>
      </c>
      <c r="B385" t="s">
        <v>1095</v>
      </c>
      <c r="C385" s="1" t="s">
        <v>1096</v>
      </c>
      <c r="D385" s="1" t="s">
        <v>1097</v>
      </c>
      <c r="E385">
        <f t="shared" si="7"/>
        <v>1047.4531713823822</v>
      </c>
      <c r="J385" t="str">
        <v>Saharanpur</v>
      </c>
    </row>
    <row r="386" spans="1:10" x14ac:dyDescent="0.2">
      <c r="A386" t="s">
        <v>1079</v>
      </c>
      <c r="B386" t="s">
        <v>1098</v>
      </c>
      <c r="C386" s="1" t="s">
        <v>1099</v>
      </c>
      <c r="D386">
        <v>85.777681022880202</v>
      </c>
      <c r="E386">
        <f t="shared" si="7"/>
        <v>1153.4655641176312</v>
      </c>
      <c r="J386" t="str">
        <v>Sant Kabir Nagar</v>
      </c>
    </row>
    <row r="387" spans="1:10" x14ac:dyDescent="0.2">
      <c r="A387" t="s">
        <v>1079</v>
      </c>
      <c r="B387" t="s">
        <v>1100</v>
      </c>
      <c r="C387" s="1" t="s">
        <v>1101</v>
      </c>
      <c r="D387" s="1" t="s">
        <v>1102</v>
      </c>
      <c r="E387">
        <f t="shared" si="7"/>
        <v>1003.1177927115175</v>
      </c>
      <c r="J387" t="str">
        <v>Sant Ravi Das Nagar</v>
      </c>
    </row>
    <row r="388" spans="1:10" x14ac:dyDescent="0.2">
      <c r="A388" t="s">
        <v>1079</v>
      </c>
      <c r="B388" t="s">
        <v>1103</v>
      </c>
      <c r="C388" s="1" t="s">
        <v>1104</v>
      </c>
      <c r="D388" s="1" t="s">
        <v>1105</v>
      </c>
      <c r="E388">
        <f t="shared" si="7"/>
        <v>1103.1477242175815</v>
      </c>
      <c r="J388" t="str">
        <v>Shahjahanpur</v>
      </c>
    </row>
    <row r="389" spans="1:10" x14ac:dyDescent="0.2">
      <c r="A389" t="s">
        <v>1079</v>
      </c>
      <c r="B389" t="s">
        <v>1106</v>
      </c>
      <c r="C389" s="1" t="s">
        <v>1107</v>
      </c>
      <c r="D389" s="1" t="s">
        <v>1108</v>
      </c>
      <c r="E389">
        <f t="shared" si="7"/>
        <v>1194.2653169035948</v>
      </c>
      <c r="J389" t="str">
        <v>Shravasti</v>
      </c>
    </row>
    <row r="390" spans="1:10" x14ac:dyDescent="0.2">
      <c r="A390" t="s">
        <v>1079</v>
      </c>
      <c r="B390" t="s">
        <v>1109</v>
      </c>
      <c r="C390" s="1" t="s">
        <v>1110</v>
      </c>
      <c r="D390" s="1" t="s">
        <v>1111</v>
      </c>
      <c r="E390">
        <f t="shared" si="7"/>
        <v>1210.4188930756661</v>
      </c>
      <c r="J390" t="str">
        <v>Siddharth Nagar</v>
      </c>
    </row>
    <row r="391" spans="1:10" x14ac:dyDescent="0.2">
      <c r="A391" t="s">
        <v>1079</v>
      </c>
      <c r="B391" t="s">
        <v>1112</v>
      </c>
      <c r="C391" s="1" t="s">
        <v>1113</v>
      </c>
      <c r="D391" s="1" t="s">
        <v>1114</v>
      </c>
      <c r="E391">
        <f t="shared" si="7"/>
        <v>1219.4769374698121</v>
      </c>
      <c r="J391" t="str">
        <v>Sitapur</v>
      </c>
    </row>
    <row r="392" spans="1:10" x14ac:dyDescent="0.2">
      <c r="A392" t="s">
        <v>1079</v>
      </c>
      <c r="B392" t="s">
        <v>1115</v>
      </c>
      <c r="C392" s="1" t="s">
        <v>1116</v>
      </c>
      <c r="D392" s="1" t="s">
        <v>1117</v>
      </c>
      <c r="E392">
        <f t="shared" si="7"/>
        <v>1136.1389923682711</v>
      </c>
      <c r="J392" t="str">
        <v>Sonbhadra</v>
      </c>
    </row>
    <row r="393" spans="1:10" x14ac:dyDescent="0.2">
      <c r="A393" t="s">
        <v>1079</v>
      </c>
      <c r="B393" t="s">
        <v>1118</v>
      </c>
      <c r="C393" s="1" t="s">
        <v>1119</v>
      </c>
      <c r="D393" s="1" t="s">
        <v>1120</v>
      </c>
      <c r="E393">
        <f t="shared" si="7"/>
        <v>917.35072175957862</v>
      </c>
      <c r="J393" t="str">
        <v>Sultanpur</v>
      </c>
    </row>
    <row r="394" spans="1:10" x14ac:dyDescent="0.2">
      <c r="A394" t="s">
        <v>1079</v>
      </c>
      <c r="B394" t="s">
        <v>1121</v>
      </c>
      <c r="C394" s="1" t="s">
        <v>1122</v>
      </c>
      <c r="D394">
        <v>83.112404381443298</v>
      </c>
      <c r="E394">
        <f t="shared" ref="E394:E457" si="8">(6371*2*ASIN(SQRT(SIN((RADIANS($K$3-C394))/2)^2+COS(RADIANS(C394))*COS(RADIANS($K$3))*SIN((RADIANS($K$4-D394))/2)^2)))</f>
        <v>1084.5382359428872</v>
      </c>
      <c r="J394" t="str">
        <v>Unnao</v>
      </c>
    </row>
    <row r="395" spans="1:10" x14ac:dyDescent="0.2">
      <c r="A395" t="s">
        <v>1079</v>
      </c>
      <c r="B395" t="s">
        <v>1123</v>
      </c>
      <c r="C395" s="1" t="s">
        <v>1124</v>
      </c>
      <c r="D395" s="1" t="s">
        <v>1125</v>
      </c>
      <c r="E395">
        <f t="shared" si="8"/>
        <v>1091.2328838487902</v>
      </c>
      <c r="J395" t="str">
        <v>Varanasi</v>
      </c>
    </row>
    <row r="396" spans="1:10" x14ac:dyDescent="0.2">
      <c r="A396" t="s">
        <v>1079</v>
      </c>
      <c r="B396" t="s">
        <v>1126</v>
      </c>
      <c r="C396" s="1" t="s">
        <v>1127</v>
      </c>
      <c r="D396" s="1" t="s">
        <v>1128</v>
      </c>
      <c r="E396">
        <f t="shared" si="8"/>
        <v>1201.6980833876571</v>
      </c>
      <c r="J396" t="str">
        <v>Almora</v>
      </c>
    </row>
    <row r="397" spans="1:10" x14ac:dyDescent="0.2">
      <c r="A397" t="s">
        <v>1079</v>
      </c>
      <c r="B397" t="s">
        <v>1129</v>
      </c>
      <c r="C397" s="1" t="s">
        <v>1130</v>
      </c>
      <c r="D397" s="1" t="s">
        <v>1131</v>
      </c>
      <c r="E397">
        <f t="shared" si="8"/>
        <v>1055.1750128129745</v>
      </c>
      <c r="J397" t="str">
        <v>Bageshwar</v>
      </c>
    </row>
    <row r="398" spans="1:10" x14ac:dyDescent="0.2">
      <c r="A398" t="s">
        <v>1079</v>
      </c>
      <c r="B398" t="s">
        <v>1132</v>
      </c>
      <c r="C398" s="1" t="s">
        <v>1133</v>
      </c>
      <c r="D398" s="1" t="s">
        <v>1134</v>
      </c>
      <c r="E398">
        <f t="shared" si="8"/>
        <v>1171.6392283527766</v>
      </c>
      <c r="J398" t="str">
        <v>Chamoli</v>
      </c>
    </row>
    <row r="399" spans="1:10" x14ac:dyDescent="0.2">
      <c r="A399" t="s">
        <v>1079</v>
      </c>
      <c r="B399" t="s">
        <v>1135</v>
      </c>
      <c r="C399" s="1" t="s">
        <v>1136</v>
      </c>
      <c r="D399" s="1" t="s">
        <v>1137</v>
      </c>
      <c r="E399">
        <f t="shared" si="8"/>
        <v>1174.4129595055181</v>
      </c>
      <c r="J399" t="str">
        <v>Champawat</v>
      </c>
    </row>
    <row r="400" spans="1:10" x14ac:dyDescent="0.2">
      <c r="A400" t="s">
        <v>1079</v>
      </c>
      <c r="B400" t="s">
        <v>1138</v>
      </c>
      <c r="C400" s="1" t="s">
        <v>1139</v>
      </c>
      <c r="D400" s="1" t="s">
        <v>1140</v>
      </c>
      <c r="E400">
        <f t="shared" si="8"/>
        <v>1212.2122470164636</v>
      </c>
      <c r="J400" t="str">
        <v>Dehra Dun</v>
      </c>
    </row>
    <row r="401" spans="1:10" x14ac:dyDescent="0.2">
      <c r="A401" t="s">
        <v>1079</v>
      </c>
      <c r="B401" t="s">
        <v>1141</v>
      </c>
      <c r="C401" s="1" t="s">
        <v>1142</v>
      </c>
      <c r="D401">
        <v>86.4030408052231</v>
      </c>
      <c r="E401">
        <f t="shared" si="8"/>
        <v>1063.1919534794242</v>
      </c>
      <c r="J401" t="str">
        <v>Haridwar</v>
      </c>
    </row>
    <row r="402" spans="1:10" x14ac:dyDescent="0.2">
      <c r="A402" t="s">
        <v>1079</v>
      </c>
      <c r="B402" t="s">
        <v>1143</v>
      </c>
      <c r="C402" s="1" t="s">
        <v>1144</v>
      </c>
      <c r="D402" s="1" t="s">
        <v>1145</v>
      </c>
      <c r="E402">
        <f t="shared" si="8"/>
        <v>1089.1485682721284</v>
      </c>
      <c r="J402" t="str">
        <v>Naini Tal</v>
      </c>
    </row>
    <row r="403" spans="1:10" x14ac:dyDescent="0.2">
      <c r="A403" t="s">
        <v>1079</v>
      </c>
      <c r="B403" t="s">
        <v>1146</v>
      </c>
      <c r="C403" s="1" t="s">
        <v>1147</v>
      </c>
      <c r="D403" s="1" t="s">
        <v>1148</v>
      </c>
      <c r="E403">
        <f t="shared" si="8"/>
        <v>1132.9876186346025</v>
      </c>
      <c r="J403" t="str">
        <v>Pauri Garhwal</v>
      </c>
    </row>
    <row r="404" spans="1:10" x14ac:dyDescent="0.2">
      <c r="A404" t="s">
        <v>1079</v>
      </c>
      <c r="B404" t="s">
        <v>1149</v>
      </c>
      <c r="C404" s="1" t="s">
        <v>1150</v>
      </c>
      <c r="D404" s="1" t="s">
        <v>1151</v>
      </c>
      <c r="E404">
        <f t="shared" si="8"/>
        <v>993.88997443326446</v>
      </c>
      <c r="J404" t="str">
        <v>Pithoragarh</v>
      </c>
    </row>
    <row r="405" spans="1:10" x14ac:dyDescent="0.2">
      <c r="A405" t="s">
        <v>1079</v>
      </c>
      <c r="B405" t="s">
        <v>1152</v>
      </c>
      <c r="C405" s="1" t="s">
        <v>1153</v>
      </c>
      <c r="D405" s="1" t="s">
        <v>1154</v>
      </c>
      <c r="E405">
        <f t="shared" si="8"/>
        <v>1211.5992953403788</v>
      </c>
      <c r="J405" t="str">
        <v>Rudra Prayag</v>
      </c>
    </row>
    <row r="406" spans="1:10" x14ac:dyDescent="0.2">
      <c r="A406" t="s">
        <v>1079</v>
      </c>
      <c r="B406" t="s">
        <v>1155</v>
      </c>
      <c r="C406" s="1" t="s">
        <v>1156</v>
      </c>
      <c r="D406" s="1" t="s">
        <v>1157</v>
      </c>
      <c r="E406">
        <f t="shared" si="8"/>
        <v>1148.6641943460411</v>
      </c>
      <c r="J406" t="str">
        <v>Tehri Garhwal</v>
      </c>
    </row>
    <row r="407" spans="1:10" x14ac:dyDescent="0.2">
      <c r="A407" t="s">
        <v>1079</v>
      </c>
      <c r="B407" t="s">
        <v>1158</v>
      </c>
      <c r="C407" s="1" t="s">
        <v>1159</v>
      </c>
      <c r="D407" s="1" t="s">
        <v>1160</v>
      </c>
      <c r="E407">
        <f t="shared" si="8"/>
        <v>969.17167404419172</v>
      </c>
      <c r="J407" t="str">
        <v>Udham Singh Nagar</v>
      </c>
    </row>
    <row r="408" spans="1:10" x14ac:dyDescent="0.2">
      <c r="A408" t="s">
        <v>1079</v>
      </c>
      <c r="B408" t="s">
        <v>1161</v>
      </c>
      <c r="C408" s="1" t="s">
        <v>1162</v>
      </c>
      <c r="D408" s="1" t="s">
        <v>1163</v>
      </c>
      <c r="E408">
        <f t="shared" si="8"/>
        <v>1000.0651715816366</v>
      </c>
      <c r="J408" t="str">
        <v>Uttarkashi</v>
      </c>
    </row>
    <row r="409" spans="1:10" x14ac:dyDescent="0.2">
      <c r="A409" t="s">
        <v>1079</v>
      </c>
      <c r="B409" t="s">
        <v>1164</v>
      </c>
      <c r="C409" s="1" t="s">
        <v>1165</v>
      </c>
      <c r="D409" s="1" t="s">
        <v>1166</v>
      </c>
      <c r="E409">
        <f t="shared" si="8"/>
        <v>927.02543130597303</v>
      </c>
      <c r="J409" t="str">
        <v>Bankura</v>
      </c>
    </row>
    <row r="410" spans="1:10" x14ac:dyDescent="0.2">
      <c r="A410" t="s">
        <v>1167</v>
      </c>
      <c r="B410" t="s">
        <v>1168</v>
      </c>
      <c r="C410" s="1" t="s">
        <v>1169</v>
      </c>
      <c r="D410" s="1" t="s">
        <v>1170</v>
      </c>
      <c r="E410">
        <f t="shared" si="8"/>
        <v>1998.0275199915732</v>
      </c>
      <c r="J410" t="str">
        <v>Barddhaman</v>
      </c>
    </row>
    <row r="411" spans="1:10" x14ac:dyDescent="0.2">
      <c r="A411" t="s">
        <v>1167</v>
      </c>
      <c r="B411" t="s">
        <v>1171</v>
      </c>
      <c r="C411" s="1" t="s">
        <v>1172</v>
      </c>
      <c r="D411" s="1" t="s">
        <v>1173</v>
      </c>
      <c r="E411">
        <f t="shared" si="8"/>
        <v>1912.5740617737426</v>
      </c>
      <c r="J411" t="str">
        <v>Birbhum</v>
      </c>
    </row>
    <row r="412" spans="1:10" x14ac:dyDescent="0.2">
      <c r="A412" t="s">
        <v>1167</v>
      </c>
      <c r="B412" t="s">
        <v>1167</v>
      </c>
      <c r="C412" s="1" t="s">
        <v>1174</v>
      </c>
      <c r="D412">
        <v>79.797109613375198</v>
      </c>
      <c r="E412">
        <f t="shared" si="8"/>
        <v>1885.5060191901882</v>
      </c>
      <c r="J412" t="str">
        <v>Dakshin Dinajpur</v>
      </c>
    </row>
    <row r="413" spans="1:10" x14ac:dyDescent="0.2">
      <c r="A413" t="s">
        <v>1167</v>
      </c>
      <c r="B413" t="s">
        <v>1175</v>
      </c>
      <c r="C413" s="1" t="s">
        <v>1176</v>
      </c>
      <c r="D413" s="1" t="s">
        <v>1177</v>
      </c>
      <c r="E413">
        <f t="shared" si="8"/>
        <v>1386.1883225712402</v>
      </c>
      <c r="J413" t="str">
        <v>Darjiling</v>
      </c>
    </row>
    <row r="414" spans="1:10" x14ac:dyDescent="0.2">
      <c r="A414" t="s">
        <v>1178</v>
      </c>
      <c r="B414" t="s">
        <v>1179</v>
      </c>
      <c r="C414" s="1" t="s">
        <v>1180</v>
      </c>
      <c r="D414" s="1" t="s">
        <v>1181</v>
      </c>
      <c r="E414">
        <f t="shared" si="8"/>
        <v>512.64970562301892</v>
      </c>
      <c r="J414" t="str">
        <v>East Midnapore</v>
      </c>
    </row>
    <row r="415" spans="1:10" x14ac:dyDescent="0.2">
      <c r="A415" t="s">
        <v>1178</v>
      </c>
      <c r="B415" t="s">
        <v>1182</v>
      </c>
      <c r="C415" s="1" t="s">
        <v>1183</v>
      </c>
      <c r="D415" s="1" t="s">
        <v>1184</v>
      </c>
      <c r="E415">
        <f t="shared" si="8"/>
        <v>420.22627217636006</v>
      </c>
      <c r="J415" t="str">
        <v>Haora</v>
      </c>
    </row>
    <row r="416" spans="1:10" x14ac:dyDescent="0.2">
      <c r="A416" t="s">
        <v>1178</v>
      </c>
      <c r="B416" t="s">
        <v>1185</v>
      </c>
      <c r="C416" s="1" t="s">
        <v>1186</v>
      </c>
      <c r="D416" s="1" t="s">
        <v>1187</v>
      </c>
      <c r="E416">
        <f t="shared" si="8"/>
        <v>460.04070843368777</v>
      </c>
      <c r="J416" t="str">
        <v>Hugli</v>
      </c>
    </row>
    <row r="417" spans="1:10" x14ac:dyDescent="0.2">
      <c r="A417" t="s">
        <v>1178</v>
      </c>
      <c r="B417" t="s">
        <v>1188</v>
      </c>
      <c r="C417" s="1" t="s">
        <v>1189</v>
      </c>
      <c r="D417" s="1" t="s">
        <v>1190</v>
      </c>
      <c r="E417">
        <f t="shared" si="8"/>
        <v>333.00551813051635</v>
      </c>
      <c r="J417" t="str">
        <v>Jalpaiguri</v>
      </c>
    </row>
    <row r="418" spans="1:10" x14ac:dyDescent="0.2">
      <c r="A418" t="s">
        <v>1178</v>
      </c>
      <c r="B418" t="s">
        <v>1191</v>
      </c>
      <c r="C418" s="1" t="s">
        <v>1192</v>
      </c>
      <c r="D418" s="1" t="s">
        <v>1193</v>
      </c>
      <c r="E418">
        <f t="shared" si="8"/>
        <v>496.64491664010194</v>
      </c>
      <c r="J418" t="str">
        <v>Kochbihar</v>
      </c>
    </row>
    <row r="419" spans="1:10" x14ac:dyDescent="0.2">
      <c r="A419" t="s">
        <v>1178</v>
      </c>
      <c r="B419" t="s">
        <v>1194</v>
      </c>
      <c r="C419" s="1" t="s">
        <v>1195</v>
      </c>
      <c r="D419">
        <v>75.320406439393906</v>
      </c>
      <c r="E419">
        <f t="shared" si="8"/>
        <v>509.24327555270776</v>
      </c>
      <c r="J419" t="str">
        <v>Kolkata</v>
      </c>
    </row>
    <row r="420" spans="1:10" x14ac:dyDescent="0.2">
      <c r="A420" t="s">
        <v>1178</v>
      </c>
      <c r="B420" t="s">
        <v>1196</v>
      </c>
      <c r="C420" s="1" t="s">
        <v>1197</v>
      </c>
      <c r="D420">
        <v>75.8469857442349</v>
      </c>
      <c r="E420">
        <f t="shared" si="8"/>
        <v>435.55871587206985</v>
      </c>
      <c r="J420" t="str">
        <v>Maldah</v>
      </c>
    </row>
    <row r="421" spans="1:10" x14ac:dyDescent="0.2">
      <c r="A421" t="s">
        <v>1178</v>
      </c>
      <c r="B421" t="s">
        <v>1198</v>
      </c>
      <c r="C421" s="1" t="s">
        <v>1199</v>
      </c>
      <c r="D421" s="1" t="s">
        <v>1200</v>
      </c>
      <c r="E421">
        <f t="shared" si="8"/>
        <v>435.94458257193992</v>
      </c>
      <c r="J421" t="str">
        <v>Murshidabad</v>
      </c>
    </row>
    <row r="422" spans="1:10" x14ac:dyDescent="0.2">
      <c r="A422" t="s">
        <v>1178</v>
      </c>
      <c r="B422" t="s">
        <v>1201</v>
      </c>
      <c r="C422" s="1" t="s">
        <v>1202</v>
      </c>
      <c r="D422" s="1" t="s">
        <v>1203</v>
      </c>
      <c r="E422">
        <f t="shared" si="8"/>
        <v>446.87167338903811</v>
      </c>
      <c r="J422" t="str">
        <v>Nadia</v>
      </c>
    </row>
    <row r="423" spans="1:10" x14ac:dyDescent="0.2">
      <c r="A423" t="s">
        <v>1178</v>
      </c>
      <c r="B423" t="s">
        <v>1204</v>
      </c>
      <c r="C423" s="1" t="s">
        <v>1205</v>
      </c>
      <c r="D423" s="1" t="s">
        <v>1206</v>
      </c>
      <c r="E423">
        <f t="shared" si="8"/>
        <v>382.47188869883769</v>
      </c>
      <c r="J423" t="str">
        <v>Puruliya</v>
      </c>
    </row>
    <row r="424" spans="1:10" x14ac:dyDescent="0.2">
      <c r="A424" t="s">
        <v>1178</v>
      </c>
      <c r="B424" t="s">
        <v>1207</v>
      </c>
      <c r="C424" s="1" t="s">
        <v>1208</v>
      </c>
      <c r="D424">
        <v>75.430492285714294</v>
      </c>
      <c r="E424">
        <f t="shared" si="8"/>
        <v>376.42453157963007</v>
      </c>
      <c r="J424" t="str">
        <v>South 24 Parganas</v>
      </c>
    </row>
    <row r="425" spans="1:10" x14ac:dyDescent="0.2">
      <c r="A425" t="s">
        <v>1178</v>
      </c>
      <c r="B425" t="s">
        <v>1209</v>
      </c>
      <c r="C425" s="1" t="s">
        <v>1210</v>
      </c>
      <c r="D425">
        <v>75.160084511784504</v>
      </c>
      <c r="E425">
        <f t="shared" si="8"/>
        <v>437.02833803646695</v>
      </c>
      <c r="J425" t="str">
        <v>Uttar Dinajpur</v>
      </c>
    </row>
    <row r="426" spans="1:10" x14ac:dyDescent="0.2">
      <c r="A426" t="s">
        <v>1178</v>
      </c>
      <c r="B426" t="s">
        <v>1211</v>
      </c>
      <c r="C426" s="1" t="s">
        <v>1212</v>
      </c>
      <c r="D426">
        <v>74.551874774774802</v>
      </c>
      <c r="E426">
        <f t="shared" si="8"/>
        <v>470.46260357062408</v>
      </c>
      <c r="J426" t="str">
        <v>West Midnapore</v>
      </c>
    </row>
    <row r="427" spans="1:10" x14ac:dyDescent="0.2">
      <c r="A427" t="s">
        <v>1178</v>
      </c>
      <c r="B427" t="s">
        <v>1213</v>
      </c>
      <c r="C427" s="1" t="s">
        <v>1214</v>
      </c>
      <c r="D427">
        <v>76.1019243636364</v>
      </c>
      <c r="E427">
        <f t="shared" si="8"/>
        <v>386.47360701179298</v>
      </c>
    </row>
    <row r="428" spans="1:10" x14ac:dyDescent="0.2">
      <c r="A428" t="s">
        <v>1178</v>
      </c>
      <c r="B428" t="s">
        <v>1215</v>
      </c>
      <c r="C428" s="1" t="s">
        <v>1216</v>
      </c>
      <c r="D428" s="1" t="s">
        <v>1217</v>
      </c>
      <c r="E428">
        <f t="shared" si="8"/>
        <v>314.38092427629721</v>
      </c>
    </row>
    <row r="429" spans="1:10" x14ac:dyDescent="0.2">
      <c r="A429" t="s">
        <v>1178</v>
      </c>
      <c r="B429" t="s">
        <v>1218</v>
      </c>
      <c r="C429" s="1" t="s">
        <v>1219</v>
      </c>
      <c r="D429" s="1" t="s">
        <v>1220</v>
      </c>
      <c r="E429">
        <f t="shared" si="8"/>
        <v>338.99569622542708</v>
      </c>
    </row>
    <row r="430" spans="1:10" x14ac:dyDescent="0.2">
      <c r="A430" t="s">
        <v>1178</v>
      </c>
      <c r="B430" t="s">
        <v>1221</v>
      </c>
      <c r="C430" s="1" t="s">
        <v>1222</v>
      </c>
      <c r="D430" s="1" t="s">
        <v>1223</v>
      </c>
      <c r="E430">
        <f t="shared" si="8"/>
        <v>345.57851126580169</v>
      </c>
    </row>
    <row r="431" spans="1:10" x14ac:dyDescent="0.2">
      <c r="A431" t="s">
        <v>1224</v>
      </c>
      <c r="B431" t="s">
        <v>1225</v>
      </c>
      <c r="C431" s="1" t="s">
        <v>1226</v>
      </c>
      <c r="D431">
        <v>74.699041919191899</v>
      </c>
      <c r="E431">
        <f t="shared" si="8"/>
        <v>524.25970698398953</v>
      </c>
    </row>
    <row r="432" spans="1:10" x14ac:dyDescent="0.2">
      <c r="A432" t="s">
        <v>1224</v>
      </c>
      <c r="B432" t="s">
        <v>1227</v>
      </c>
      <c r="C432" s="1" t="s">
        <v>1228</v>
      </c>
      <c r="D432" s="1" t="s">
        <v>1229</v>
      </c>
      <c r="E432">
        <f t="shared" si="8"/>
        <v>279.61689897140218</v>
      </c>
    </row>
    <row r="433" spans="1:5" x14ac:dyDescent="0.2">
      <c r="A433" t="s">
        <v>1224</v>
      </c>
      <c r="B433" t="s">
        <v>1230</v>
      </c>
      <c r="C433" s="1" t="s">
        <v>1231</v>
      </c>
      <c r="D433" s="1" t="s">
        <v>1232</v>
      </c>
      <c r="E433">
        <f t="shared" si="8"/>
        <v>757.93897287855077</v>
      </c>
    </row>
    <row r="434" spans="1:5" x14ac:dyDescent="0.2">
      <c r="A434" t="s">
        <v>1224</v>
      </c>
      <c r="B434" t="s">
        <v>1233</v>
      </c>
      <c r="C434" s="1" t="s">
        <v>1234</v>
      </c>
      <c r="D434" s="1" t="s">
        <v>1235</v>
      </c>
      <c r="E434">
        <f t="shared" si="8"/>
        <v>482.8241224480501</v>
      </c>
    </row>
    <row r="435" spans="1:5" x14ac:dyDescent="0.2">
      <c r="A435" t="s">
        <v>1224</v>
      </c>
      <c r="B435" t="s">
        <v>1236</v>
      </c>
      <c r="C435" s="1" t="s">
        <v>1237</v>
      </c>
      <c r="D435" s="1" t="s">
        <v>1238</v>
      </c>
      <c r="E435">
        <f t="shared" si="8"/>
        <v>824.87265043592254</v>
      </c>
    </row>
    <row r="436" spans="1:5" x14ac:dyDescent="0.2">
      <c r="A436" t="s">
        <v>1224</v>
      </c>
      <c r="B436" t="s">
        <v>1239</v>
      </c>
      <c r="C436" s="1" t="s">
        <v>1240</v>
      </c>
      <c r="D436" s="1" t="s">
        <v>1241</v>
      </c>
      <c r="E436">
        <f t="shared" si="8"/>
        <v>250.17820177697118</v>
      </c>
    </row>
    <row r="437" spans="1:5" x14ac:dyDescent="0.2">
      <c r="A437" t="s">
        <v>1224</v>
      </c>
      <c r="B437" t="s">
        <v>1242</v>
      </c>
      <c r="C437" s="1" t="s">
        <v>1243</v>
      </c>
      <c r="D437" s="1" t="s">
        <v>1244</v>
      </c>
      <c r="E437">
        <f t="shared" si="8"/>
        <v>580.4297615913049</v>
      </c>
    </row>
    <row r="438" spans="1:5" x14ac:dyDescent="0.2">
      <c r="A438" t="s">
        <v>1224</v>
      </c>
      <c r="B438" t="s">
        <v>1245</v>
      </c>
      <c r="C438" s="1" t="s">
        <v>1246</v>
      </c>
      <c r="D438" s="1" t="s">
        <v>1247</v>
      </c>
      <c r="E438">
        <f t="shared" si="8"/>
        <v>576.16732217168271</v>
      </c>
    </row>
    <row r="439" spans="1:5" x14ac:dyDescent="0.2">
      <c r="A439" t="s">
        <v>1224</v>
      </c>
      <c r="B439" t="s">
        <v>1248</v>
      </c>
      <c r="C439" s="1" t="s">
        <v>1249</v>
      </c>
      <c r="D439" s="1" t="s">
        <v>1250</v>
      </c>
      <c r="E439">
        <f t="shared" si="8"/>
        <v>495.63547650852325</v>
      </c>
    </row>
    <row r="440" spans="1:5" x14ac:dyDescent="0.2">
      <c r="A440" t="s">
        <v>1224</v>
      </c>
      <c r="B440" t="s">
        <v>1251</v>
      </c>
      <c r="C440" s="1" t="s">
        <v>1252</v>
      </c>
      <c r="D440" s="1" t="s">
        <v>1253</v>
      </c>
      <c r="E440">
        <f t="shared" si="8"/>
        <v>633.41078137876104</v>
      </c>
    </row>
    <row r="441" spans="1:5" x14ac:dyDescent="0.2">
      <c r="A441" t="s">
        <v>1224</v>
      </c>
      <c r="B441" t="s">
        <v>1254</v>
      </c>
      <c r="C441" s="1" t="s">
        <v>1255</v>
      </c>
      <c r="D441" s="1" t="s">
        <v>1256</v>
      </c>
      <c r="E441">
        <f t="shared" si="8"/>
        <v>438.80894143076694</v>
      </c>
    </row>
    <row r="442" spans="1:5" x14ac:dyDescent="0.2">
      <c r="A442" t="s">
        <v>1224</v>
      </c>
      <c r="B442" t="s">
        <v>1257</v>
      </c>
      <c r="C442" s="1" t="s">
        <v>1258</v>
      </c>
      <c r="D442" s="1" t="s">
        <v>1259</v>
      </c>
      <c r="E442">
        <f t="shared" si="8"/>
        <v>328.21917952198692</v>
      </c>
    </row>
    <row r="443" spans="1:5" x14ac:dyDescent="0.2">
      <c r="A443" t="s">
        <v>1224</v>
      </c>
      <c r="B443" t="s">
        <v>1260</v>
      </c>
      <c r="C443" s="1" t="s">
        <v>1261</v>
      </c>
      <c r="D443" s="1" t="s">
        <v>1262</v>
      </c>
      <c r="E443">
        <f t="shared" si="8"/>
        <v>270.1809888355225</v>
      </c>
    </row>
    <row r="444" spans="1:5" x14ac:dyDescent="0.2">
      <c r="A444" t="s">
        <v>1224</v>
      </c>
      <c r="B444" t="s">
        <v>1263</v>
      </c>
      <c r="C444" s="1" t="s">
        <v>1264</v>
      </c>
      <c r="D444" s="1" t="s">
        <v>1265</v>
      </c>
      <c r="E444">
        <f t="shared" si="8"/>
        <v>770.77775679201795</v>
      </c>
    </row>
    <row r="445" spans="1:5" x14ac:dyDescent="0.2">
      <c r="A445" t="s">
        <v>1224</v>
      </c>
      <c r="B445" t="s">
        <v>1266</v>
      </c>
      <c r="C445" s="1" t="s">
        <v>1267</v>
      </c>
      <c r="D445" s="1" t="s">
        <v>1268</v>
      </c>
      <c r="E445">
        <f t="shared" si="8"/>
        <v>541.32181103554547</v>
      </c>
    </row>
    <row r="446" spans="1:5" x14ac:dyDescent="0.2">
      <c r="A446" t="s">
        <v>1224</v>
      </c>
      <c r="B446" t="s">
        <v>1269</v>
      </c>
      <c r="C446">
        <v>29.181335179153098</v>
      </c>
      <c r="D446" s="1" t="s">
        <v>1270</v>
      </c>
      <c r="E446">
        <f t="shared" si="8"/>
        <v>426.07570323013226</v>
      </c>
    </row>
    <row r="447" spans="1:5" x14ac:dyDescent="0.2">
      <c r="A447" t="s">
        <v>1224</v>
      </c>
      <c r="B447" t="s">
        <v>1271</v>
      </c>
      <c r="C447" s="1" t="s">
        <v>1272</v>
      </c>
      <c r="D447" s="1" t="s">
        <v>1273</v>
      </c>
      <c r="E447">
        <f t="shared" si="8"/>
        <v>384.14401473526419</v>
      </c>
    </row>
    <row r="448" spans="1:5" x14ac:dyDescent="0.2">
      <c r="A448" t="s">
        <v>1224</v>
      </c>
      <c r="B448" t="s">
        <v>1274</v>
      </c>
      <c r="C448" s="1" t="s">
        <v>1275</v>
      </c>
      <c r="D448" s="1" t="s">
        <v>1276</v>
      </c>
      <c r="E448">
        <f t="shared" si="8"/>
        <v>809.05802247789313</v>
      </c>
    </row>
    <row r="449" spans="1:5" x14ac:dyDescent="0.2">
      <c r="A449" t="s">
        <v>1224</v>
      </c>
      <c r="B449" t="s">
        <v>1277</v>
      </c>
      <c r="C449" s="1" t="s">
        <v>1278</v>
      </c>
      <c r="D449" s="1" t="s">
        <v>1279</v>
      </c>
      <c r="E449">
        <f t="shared" si="8"/>
        <v>803.09179770475032</v>
      </c>
    </row>
    <row r="450" spans="1:5" x14ac:dyDescent="0.2">
      <c r="A450" t="s">
        <v>1224</v>
      </c>
      <c r="B450" t="s">
        <v>1280</v>
      </c>
      <c r="C450" s="1" t="s">
        <v>1281</v>
      </c>
      <c r="D450" s="1" t="s">
        <v>1282</v>
      </c>
      <c r="E450">
        <f t="shared" si="8"/>
        <v>590.56298967316275</v>
      </c>
    </row>
    <row r="451" spans="1:5" x14ac:dyDescent="0.2">
      <c r="A451" t="s">
        <v>1224</v>
      </c>
      <c r="B451" t="s">
        <v>1283</v>
      </c>
      <c r="C451" s="1" t="s">
        <v>1284</v>
      </c>
      <c r="D451" s="1" t="s">
        <v>1285</v>
      </c>
      <c r="E451">
        <f t="shared" si="8"/>
        <v>358.49228342464443</v>
      </c>
    </row>
    <row r="452" spans="1:5" x14ac:dyDescent="0.2">
      <c r="A452" t="s">
        <v>1224</v>
      </c>
      <c r="B452" t="s">
        <v>1286</v>
      </c>
      <c r="C452" s="1" t="s">
        <v>1287</v>
      </c>
      <c r="D452" s="1" t="s">
        <v>1288</v>
      </c>
      <c r="E452">
        <f t="shared" si="8"/>
        <v>646.63227872413415</v>
      </c>
    </row>
    <row r="453" spans="1:5" x14ac:dyDescent="0.2">
      <c r="A453" t="s">
        <v>1224</v>
      </c>
      <c r="B453" t="s">
        <v>1289</v>
      </c>
      <c r="C453" s="1" t="s">
        <v>1290</v>
      </c>
      <c r="D453" s="1" t="s">
        <v>1291</v>
      </c>
      <c r="E453">
        <f t="shared" si="8"/>
        <v>333.07927185215493</v>
      </c>
    </row>
    <row r="454" spans="1:5" x14ac:dyDescent="0.2">
      <c r="A454" t="s">
        <v>1224</v>
      </c>
      <c r="B454" t="s">
        <v>1292</v>
      </c>
      <c r="C454" s="1" t="s">
        <v>1293</v>
      </c>
      <c r="D454" s="1" t="s">
        <v>1294</v>
      </c>
      <c r="E454">
        <f t="shared" si="8"/>
        <v>499.17044417239237</v>
      </c>
    </row>
    <row r="455" spans="1:5" x14ac:dyDescent="0.2">
      <c r="A455" t="s">
        <v>1224</v>
      </c>
      <c r="B455" t="s">
        <v>1295</v>
      </c>
      <c r="C455" s="1" t="s">
        <v>1296</v>
      </c>
      <c r="D455" s="1" t="s">
        <v>1297</v>
      </c>
      <c r="E455">
        <f t="shared" si="8"/>
        <v>525.38422472142111</v>
      </c>
    </row>
    <row r="456" spans="1:5" x14ac:dyDescent="0.2">
      <c r="A456" t="s">
        <v>1224</v>
      </c>
      <c r="B456" t="s">
        <v>1298</v>
      </c>
      <c r="C456" s="1" t="s">
        <v>1299</v>
      </c>
      <c r="D456" s="1" t="s">
        <v>1300</v>
      </c>
      <c r="E456">
        <f t="shared" si="8"/>
        <v>643.84780981689789</v>
      </c>
    </row>
    <row r="457" spans="1:5" x14ac:dyDescent="0.2">
      <c r="A457" t="s">
        <v>1224</v>
      </c>
      <c r="B457" t="s">
        <v>1301</v>
      </c>
      <c r="C457" s="1" t="s">
        <v>1302</v>
      </c>
      <c r="D457" s="1" t="s">
        <v>1303</v>
      </c>
      <c r="E457">
        <f t="shared" si="8"/>
        <v>646.64136221373599</v>
      </c>
    </row>
    <row r="458" spans="1:5" x14ac:dyDescent="0.2">
      <c r="A458" t="s">
        <v>1224</v>
      </c>
      <c r="B458" t="s">
        <v>1304</v>
      </c>
      <c r="C458" s="1" t="s">
        <v>1305</v>
      </c>
      <c r="D458">
        <v>76.4219283891548</v>
      </c>
      <c r="E458">
        <f t="shared" ref="E458:E521" si="9">(6371*2*ASIN(SQRT(SIN((RADIANS($K$3-C458))/2)^2+COS(RADIANS(C458))*COS(RADIANS($K$3))*SIN((RADIANS($K$4-D458))/2)^2)))</f>
        <v>390.63027910817186</v>
      </c>
    </row>
    <row r="459" spans="1:5" x14ac:dyDescent="0.2">
      <c r="A459" t="s">
        <v>1224</v>
      </c>
      <c r="B459" t="s">
        <v>1306</v>
      </c>
      <c r="C459" s="1" t="s">
        <v>1307</v>
      </c>
      <c r="D459" s="1" t="s">
        <v>1308</v>
      </c>
      <c r="E459">
        <f t="shared" si="9"/>
        <v>396.42589797172565</v>
      </c>
    </row>
    <row r="460" spans="1:5" x14ac:dyDescent="0.2">
      <c r="A460" t="s">
        <v>1224</v>
      </c>
      <c r="B460" t="s">
        <v>1309</v>
      </c>
      <c r="C460">
        <v>24.797690526315801</v>
      </c>
      <c r="D460" s="1" t="s">
        <v>1310</v>
      </c>
      <c r="E460">
        <f t="shared" si="9"/>
        <v>773.85149717614775</v>
      </c>
    </row>
    <row r="461" spans="1:5" x14ac:dyDescent="0.2">
      <c r="A461" t="s">
        <v>1224</v>
      </c>
      <c r="B461" t="s">
        <v>1311</v>
      </c>
      <c r="C461" s="1" t="s">
        <v>1312</v>
      </c>
      <c r="D461" s="1" t="s">
        <v>1313</v>
      </c>
      <c r="E461">
        <f t="shared" si="9"/>
        <v>442.45515322246223</v>
      </c>
    </row>
    <row r="462" spans="1:5" x14ac:dyDescent="0.2">
      <c r="A462" t="s">
        <v>1224</v>
      </c>
      <c r="B462" t="s">
        <v>1314</v>
      </c>
      <c r="C462" s="1" t="s">
        <v>1315</v>
      </c>
      <c r="D462" s="1" t="s">
        <v>1316</v>
      </c>
      <c r="E462">
        <f t="shared" si="9"/>
        <v>715.89813652436931</v>
      </c>
    </row>
    <row r="463" spans="1:5" x14ac:dyDescent="0.2">
      <c r="A463" t="s">
        <v>1317</v>
      </c>
      <c r="B463" t="s">
        <v>1318</v>
      </c>
      <c r="C463" s="1" t="s">
        <v>1319</v>
      </c>
      <c r="D463" s="1" t="s">
        <v>1320</v>
      </c>
      <c r="E463">
        <f t="shared" si="9"/>
        <v>960.82703883736008</v>
      </c>
    </row>
    <row r="464" spans="1:5" x14ac:dyDescent="0.2">
      <c r="A464" t="s">
        <v>1317</v>
      </c>
      <c r="B464" t="s">
        <v>1321</v>
      </c>
      <c r="C464" s="1" t="s">
        <v>1322</v>
      </c>
      <c r="D464" s="1" t="s">
        <v>1323</v>
      </c>
      <c r="E464">
        <f t="shared" si="9"/>
        <v>929.92426301922808</v>
      </c>
    </row>
    <row r="465" spans="1:5" x14ac:dyDescent="0.2">
      <c r="A465" t="s">
        <v>1317</v>
      </c>
      <c r="B465" t="s">
        <v>1324</v>
      </c>
      <c r="C465" s="1" t="s">
        <v>1325</v>
      </c>
      <c r="D465" s="1" t="s">
        <v>1326</v>
      </c>
      <c r="E465">
        <f t="shared" si="9"/>
        <v>925.24118581099594</v>
      </c>
    </row>
    <row r="466" spans="1:5" x14ac:dyDescent="0.2">
      <c r="A466" t="s">
        <v>1317</v>
      </c>
      <c r="B466" t="s">
        <v>1327</v>
      </c>
      <c r="C466">
        <v>27.3359816</v>
      </c>
      <c r="D466" s="1" t="s">
        <v>1328</v>
      </c>
      <c r="E466">
        <f t="shared" si="9"/>
        <v>902.8690611600681</v>
      </c>
    </row>
    <row r="467" spans="1:5" x14ac:dyDescent="0.2">
      <c r="A467" t="s">
        <v>1329</v>
      </c>
      <c r="B467" t="s">
        <v>1330</v>
      </c>
      <c r="C467" s="1" t="s">
        <v>1331</v>
      </c>
      <c r="D467" s="1" t="s">
        <v>1332</v>
      </c>
      <c r="E467">
        <f t="shared" si="9"/>
        <v>1961.7283453270904</v>
      </c>
    </row>
    <row r="468" spans="1:5" x14ac:dyDescent="0.2">
      <c r="A468" t="s">
        <v>1329</v>
      </c>
      <c r="B468" t="s">
        <v>1333</v>
      </c>
      <c r="C468" s="1" t="s">
        <v>1334</v>
      </c>
      <c r="D468" s="1" t="s">
        <v>1335</v>
      </c>
      <c r="E468">
        <f t="shared" si="9"/>
        <v>1758.2038920000377</v>
      </c>
    </row>
    <row r="469" spans="1:5" x14ac:dyDescent="0.2">
      <c r="A469" t="s">
        <v>1329</v>
      </c>
      <c r="B469" t="s">
        <v>1336</v>
      </c>
      <c r="C469" s="1" t="s">
        <v>1337</v>
      </c>
      <c r="D469" s="1" t="s">
        <v>1338</v>
      </c>
      <c r="E469">
        <f t="shared" si="9"/>
        <v>2008.3439291127975</v>
      </c>
    </row>
    <row r="470" spans="1:5" x14ac:dyDescent="0.2">
      <c r="A470" t="s">
        <v>1329</v>
      </c>
      <c r="B470" t="s">
        <v>1339</v>
      </c>
      <c r="C470" s="1" t="s">
        <v>1340</v>
      </c>
      <c r="D470" s="1" t="s">
        <v>1341</v>
      </c>
      <c r="E470">
        <f t="shared" si="9"/>
        <v>1919.6031724260217</v>
      </c>
    </row>
    <row r="471" spans="1:5" x14ac:dyDescent="0.2">
      <c r="A471" t="s">
        <v>1329</v>
      </c>
      <c r="B471" t="s">
        <v>1342</v>
      </c>
      <c r="C471" s="1" t="s">
        <v>1343</v>
      </c>
      <c r="D471" s="1" t="s">
        <v>1344</v>
      </c>
      <c r="E471">
        <f t="shared" si="9"/>
        <v>1841.1940578368383</v>
      </c>
    </row>
    <row r="472" spans="1:5" x14ac:dyDescent="0.2">
      <c r="A472" t="s">
        <v>1329</v>
      </c>
      <c r="B472" t="s">
        <v>1345</v>
      </c>
      <c r="C472" s="1" t="s">
        <v>1346</v>
      </c>
      <c r="D472" s="1" t="s">
        <v>1347</v>
      </c>
      <c r="E472">
        <f t="shared" si="9"/>
        <v>2056.7277435427927</v>
      </c>
    </row>
    <row r="473" spans="1:5" x14ac:dyDescent="0.2">
      <c r="A473" t="s">
        <v>1329</v>
      </c>
      <c r="B473" t="s">
        <v>1348</v>
      </c>
      <c r="C473" s="1" t="s">
        <v>1349</v>
      </c>
      <c r="D473" s="1" t="s">
        <v>1350</v>
      </c>
      <c r="E473">
        <f t="shared" si="9"/>
        <v>1961.0557762945612</v>
      </c>
    </row>
    <row r="474" spans="1:5" x14ac:dyDescent="0.2">
      <c r="A474" t="s">
        <v>1329</v>
      </c>
      <c r="B474" t="s">
        <v>1351</v>
      </c>
      <c r="C474" s="1" t="s">
        <v>1352</v>
      </c>
      <c r="D474" s="1" t="s">
        <v>1353</v>
      </c>
      <c r="E474">
        <f t="shared" si="9"/>
        <v>1819.3053533026457</v>
      </c>
    </row>
    <row r="475" spans="1:5" x14ac:dyDescent="0.2">
      <c r="A475" t="s">
        <v>1329</v>
      </c>
      <c r="B475" t="s">
        <v>1354</v>
      </c>
      <c r="C475" s="1" t="s">
        <v>1355</v>
      </c>
      <c r="D475" s="1" t="s">
        <v>1356</v>
      </c>
      <c r="E475">
        <f t="shared" si="9"/>
        <v>2303.6877817095506</v>
      </c>
    </row>
    <row r="476" spans="1:5" x14ac:dyDescent="0.2">
      <c r="A476" t="s">
        <v>1329</v>
      </c>
      <c r="B476" t="s">
        <v>1357</v>
      </c>
      <c r="C476" s="1" t="s">
        <v>1358</v>
      </c>
      <c r="D476" s="1" t="s">
        <v>1359</v>
      </c>
      <c r="E476">
        <f t="shared" si="9"/>
        <v>2008.452497925394</v>
      </c>
    </row>
    <row r="477" spans="1:5" x14ac:dyDescent="0.2">
      <c r="A477" t="s">
        <v>1329</v>
      </c>
      <c r="B477" t="s">
        <v>1360</v>
      </c>
      <c r="C477" s="1" t="s">
        <v>1361</v>
      </c>
      <c r="D477" s="1" t="s">
        <v>1362</v>
      </c>
      <c r="E477">
        <f t="shared" si="9"/>
        <v>2107.8117172862185</v>
      </c>
    </row>
    <row r="478" spans="1:5" x14ac:dyDescent="0.2">
      <c r="A478" t="s">
        <v>1329</v>
      </c>
      <c r="B478" t="s">
        <v>1363</v>
      </c>
      <c r="C478" s="1" t="s">
        <v>1364</v>
      </c>
      <c r="D478" s="1" t="s">
        <v>1365</v>
      </c>
      <c r="E478">
        <f t="shared" si="9"/>
        <v>2007.5509011887671</v>
      </c>
    </row>
    <row r="479" spans="1:5" x14ac:dyDescent="0.2">
      <c r="A479" t="s">
        <v>1329</v>
      </c>
      <c r="B479" t="s">
        <v>1366</v>
      </c>
      <c r="C479" s="1" t="s">
        <v>1367</v>
      </c>
      <c r="D479" s="1" t="s">
        <v>1368</v>
      </c>
      <c r="E479">
        <f t="shared" si="9"/>
        <v>1947.9031424655386</v>
      </c>
    </row>
    <row r="480" spans="1:5" x14ac:dyDescent="0.2">
      <c r="A480" t="s">
        <v>1329</v>
      </c>
      <c r="B480" t="s">
        <v>1369</v>
      </c>
      <c r="C480" s="1" t="s">
        <v>1370</v>
      </c>
      <c r="D480">
        <v>76.661464217252401</v>
      </c>
      <c r="E480">
        <f t="shared" si="9"/>
        <v>1950.3274028941939</v>
      </c>
    </row>
    <row r="481" spans="1:5" x14ac:dyDescent="0.2">
      <c r="A481" t="s">
        <v>1329</v>
      </c>
      <c r="B481" t="s">
        <v>1371</v>
      </c>
      <c r="C481" s="1" t="s">
        <v>1372</v>
      </c>
      <c r="D481" s="1" t="s">
        <v>1373</v>
      </c>
      <c r="E481">
        <f t="shared" si="9"/>
        <v>1954.1234681329843</v>
      </c>
    </row>
    <row r="482" spans="1:5" x14ac:dyDescent="0.2">
      <c r="A482" t="s">
        <v>1329</v>
      </c>
      <c r="B482" t="s">
        <v>1374</v>
      </c>
      <c r="C482" s="1" t="s">
        <v>1375</v>
      </c>
      <c r="D482" s="1" t="s">
        <v>1376</v>
      </c>
      <c r="E482">
        <f t="shared" si="9"/>
        <v>2079.5679967550846</v>
      </c>
    </row>
    <row r="483" spans="1:5" x14ac:dyDescent="0.2">
      <c r="A483" t="s">
        <v>1329</v>
      </c>
      <c r="B483" t="s">
        <v>1377</v>
      </c>
      <c r="C483" s="1" t="s">
        <v>1378</v>
      </c>
      <c r="D483" s="1" t="s">
        <v>1379</v>
      </c>
      <c r="E483">
        <f t="shared" si="9"/>
        <v>2170.512878057516</v>
      </c>
    </row>
    <row r="484" spans="1:5" x14ac:dyDescent="0.2">
      <c r="A484" t="s">
        <v>1329</v>
      </c>
      <c r="B484" t="s">
        <v>1380</v>
      </c>
      <c r="C484" s="1" t="s">
        <v>1381</v>
      </c>
      <c r="D484">
        <v>78.247825797872295</v>
      </c>
      <c r="E484">
        <f t="shared" si="9"/>
        <v>1914.9904064207747</v>
      </c>
    </row>
    <row r="485" spans="1:5" x14ac:dyDescent="0.2">
      <c r="A485" t="s">
        <v>1329</v>
      </c>
      <c r="B485" t="s">
        <v>1382</v>
      </c>
      <c r="C485" s="1" t="s">
        <v>1383</v>
      </c>
      <c r="D485" s="1" t="s">
        <v>1384</v>
      </c>
      <c r="E485">
        <f t="shared" si="9"/>
        <v>2099.2533480234024</v>
      </c>
    </row>
    <row r="486" spans="1:5" x14ac:dyDescent="0.2">
      <c r="A486" t="s">
        <v>1329</v>
      </c>
      <c r="B486" t="s">
        <v>1385</v>
      </c>
      <c r="C486" s="1" t="s">
        <v>1386</v>
      </c>
      <c r="D486">
        <v>79.319486910774501</v>
      </c>
      <c r="E486">
        <f t="shared" si="9"/>
        <v>2051.0794045903467</v>
      </c>
    </row>
    <row r="487" spans="1:5" x14ac:dyDescent="0.2">
      <c r="A487" t="s">
        <v>1329</v>
      </c>
      <c r="B487" t="s">
        <v>1387</v>
      </c>
      <c r="C487" s="1" t="s">
        <v>1388</v>
      </c>
      <c r="D487" s="1" t="s">
        <v>1389</v>
      </c>
      <c r="E487">
        <f t="shared" si="9"/>
        <v>2109.7547007435992</v>
      </c>
    </row>
    <row r="488" spans="1:5" x14ac:dyDescent="0.2">
      <c r="A488" t="s">
        <v>1329</v>
      </c>
      <c r="B488" t="s">
        <v>1390</v>
      </c>
      <c r="C488" s="1" t="s">
        <v>1391</v>
      </c>
      <c r="D488" s="1" t="s">
        <v>1392</v>
      </c>
      <c r="E488">
        <f t="shared" si="9"/>
        <v>1733.4581832792753</v>
      </c>
    </row>
    <row r="489" spans="1:5" x14ac:dyDescent="0.2">
      <c r="A489" t="s">
        <v>1329</v>
      </c>
      <c r="B489" t="s">
        <v>1393</v>
      </c>
      <c r="C489" s="1" t="s">
        <v>1394</v>
      </c>
      <c r="D489" s="1" t="s">
        <v>1395</v>
      </c>
      <c r="E489">
        <f t="shared" si="9"/>
        <v>2053.6925443597042</v>
      </c>
    </row>
    <row r="490" spans="1:5" x14ac:dyDescent="0.2">
      <c r="A490" t="s">
        <v>1329</v>
      </c>
      <c r="B490" t="s">
        <v>1396</v>
      </c>
      <c r="C490" s="1" t="s">
        <v>1397</v>
      </c>
      <c r="D490" s="1" t="s">
        <v>1398</v>
      </c>
      <c r="E490">
        <f t="shared" si="9"/>
        <v>2238.6001066203462</v>
      </c>
    </row>
    <row r="491" spans="1:5" x14ac:dyDescent="0.2">
      <c r="A491" t="s">
        <v>1329</v>
      </c>
      <c r="B491" t="s">
        <v>1399</v>
      </c>
      <c r="C491" s="1" t="s">
        <v>1400</v>
      </c>
      <c r="D491" s="1" t="s">
        <v>1401</v>
      </c>
      <c r="E491">
        <f t="shared" si="9"/>
        <v>2001.7637711024356</v>
      </c>
    </row>
    <row r="492" spans="1:5" x14ac:dyDescent="0.2">
      <c r="A492" t="s">
        <v>1329</v>
      </c>
      <c r="B492" t="s">
        <v>1402</v>
      </c>
      <c r="C492">
        <v>8.4574307038261605</v>
      </c>
      <c r="D492" s="1" t="s">
        <v>1403</v>
      </c>
      <c r="E492">
        <f t="shared" si="9"/>
        <v>2270.3558653105838</v>
      </c>
    </row>
    <row r="493" spans="1:5" x14ac:dyDescent="0.2">
      <c r="A493" t="s">
        <v>1329</v>
      </c>
      <c r="B493" t="s">
        <v>1404</v>
      </c>
      <c r="C493" s="1" t="s">
        <v>1405</v>
      </c>
      <c r="D493" s="1" t="s">
        <v>1406</v>
      </c>
      <c r="E493">
        <f t="shared" si="9"/>
        <v>1825.1009646238999</v>
      </c>
    </row>
    <row r="494" spans="1:5" x14ac:dyDescent="0.2">
      <c r="A494" t="s">
        <v>1329</v>
      </c>
      <c r="B494" t="s">
        <v>1407</v>
      </c>
      <c r="C494" s="1" t="s">
        <v>1408</v>
      </c>
      <c r="D494" s="1" t="s">
        <v>1409</v>
      </c>
      <c r="E494">
        <f t="shared" si="9"/>
        <v>1784.4286019255132</v>
      </c>
    </row>
    <row r="495" spans="1:5" x14ac:dyDescent="0.2">
      <c r="A495" t="s">
        <v>1329</v>
      </c>
      <c r="B495" t="s">
        <v>1410</v>
      </c>
      <c r="C495" s="1" t="s">
        <v>1411</v>
      </c>
      <c r="D495">
        <v>79.689891009399204</v>
      </c>
      <c r="E495">
        <f t="shared" si="9"/>
        <v>1865.3610591490267</v>
      </c>
    </row>
    <row r="496" spans="1:5" x14ac:dyDescent="0.2">
      <c r="A496" t="s">
        <v>1329</v>
      </c>
      <c r="B496" t="s">
        <v>1412</v>
      </c>
      <c r="C496" s="1" t="s">
        <v>1413</v>
      </c>
      <c r="D496" s="1" t="s">
        <v>1414</v>
      </c>
      <c r="E496">
        <f t="shared" si="9"/>
        <v>2156.9747555891772</v>
      </c>
    </row>
    <row r="497" spans="1:5" x14ac:dyDescent="0.2">
      <c r="A497" t="s">
        <v>1415</v>
      </c>
      <c r="B497" t="s">
        <v>1416</v>
      </c>
      <c r="C497" s="1" t="s">
        <v>1417</v>
      </c>
      <c r="D497" s="1" t="s">
        <v>1418</v>
      </c>
      <c r="E497">
        <f t="shared" si="9"/>
        <v>1396.253627289474</v>
      </c>
    </row>
    <row r="498" spans="1:5" x14ac:dyDescent="0.2">
      <c r="A498" t="s">
        <v>1415</v>
      </c>
      <c r="B498" t="s">
        <v>1419</v>
      </c>
      <c r="C498" s="1" t="s">
        <v>1420</v>
      </c>
      <c r="D498" s="1" t="s">
        <v>1421</v>
      </c>
      <c r="E498">
        <f t="shared" si="9"/>
        <v>1401.1398947337832</v>
      </c>
    </row>
    <row r="499" spans="1:5" x14ac:dyDescent="0.2">
      <c r="A499" t="s">
        <v>1415</v>
      </c>
      <c r="B499" t="s">
        <v>1422</v>
      </c>
      <c r="C499" s="1" t="s">
        <v>1423</v>
      </c>
      <c r="D499">
        <v>91.606580758556802</v>
      </c>
      <c r="E499">
        <f t="shared" si="9"/>
        <v>1395.1842443082705</v>
      </c>
    </row>
    <row r="500" spans="1:5" x14ac:dyDescent="0.2">
      <c r="A500" t="s">
        <v>1415</v>
      </c>
      <c r="B500" t="s">
        <v>1424</v>
      </c>
      <c r="C500" s="1" t="s">
        <v>1425</v>
      </c>
      <c r="D500" s="1" t="s">
        <v>1426</v>
      </c>
      <c r="E500">
        <f t="shared" si="9"/>
        <v>1347.888421965084</v>
      </c>
    </row>
    <row r="501" spans="1:5" x14ac:dyDescent="0.2">
      <c r="A501" t="s">
        <v>1427</v>
      </c>
      <c r="B501" t="s">
        <v>1428</v>
      </c>
      <c r="C501" s="1" t="s">
        <v>1429</v>
      </c>
      <c r="D501" s="1" t="s">
        <v>1430</v>
      </c>
      <c r="E501">
        <f t="shared" si="9"/>
        <v>229.17952455291675</v>
      </c>
    </row>
    <row r="502" spans="1:5" x14ac:dyDescent="0.2">
      <c r="A502" t="s">
        <v>1427</v>
      </c>
      <c r="B502" t="s">
        <v>1431</v>
      </c>
      <c r="C502" s="1" t="s">
        <v>1432</v>
      </c>
      <c r="D502" s="1" t="s">
        <v>1433</v>
      </c>
      <c r="E502">
        <f t="shared" si="9"/>
        <v>147.16637796173865</v>
      </c>
    </row>
    <row r="503" spans="1:5" x14ac:dyDescent="0.2">
      <c r="A503" t="s">
        <v>1427</v>
      </c>
      <c r="B503" t="s">
        <v>1434</v>
      </c>
      <c r="C503" s="1" t="s">
        <v>1435</v>
      </c>
      <c r="D503" s="1" t="s">
        <v>1436</v>
      </c>
      <c r="E503">
        <f t="shared" si="9"/>
        <v>480.71563490856227</v>
      </c>
    </row>
    <row r="504" spans="1:5" x14ac:dyDescent="0.2">
      <c r="A504" t="s">
        <v>1427</v>
      </c>
      <c r="B504" t="s">
        <v>1437</v>
      </c>
      <c r="C504" s="1" t="s">
        <v>1438</v>
      </c>
      <c r="D504" s="1" t="s">
        <v>1439</v>
      </c>
      <c r="E504">
        <f t="shared" si="9"/>
        <v>444.50867443830504</v>
      </c>
    </row>
    <row r="505" spans="1:5" x14ac:dyDescent="0.2">
      <c r="A505" t="s">
        <v>1427</v>
      </c>
      <c r="B505" t="s">
        <v>1440</v>
      </c>
      <c r="C505" s="1" t="s">
        <v>1441</v>
      </c>
      <c r="D505" s="1" t="s">
        <v>1442</v>
      </c>
      <c r="E505">
        <f t="shared" si="9"/>
        <v>242.58132231708822</v>
      </c>
    </row>
    <row r="506" spans="1:5" x14ac:dyDescent="0.2">
      <c r="A506" t="s">
        <v>1427</v>
      </c>
      <c r="B506" t="s">
        <v>1443</v>
      </c>
      <c r="C506" s="1" t="s">
        <v>1444</v>
      </c>
      <c r="D506" s="1" t="s">
        <v>1445</v>
      </c>
      <c r="E506">
        <f t="shared" si="9"/>
        <v>496.90280525366171</v>
      </c>
    </row>
    <row r="507" spans="1:5" x14ac:dyDescent="0.2">
      <c r="A507" t="s">
        <v>1427</v>
      </c>
      <c r="B507" t="s">
        <v>1446</v>
      </c>
      <c r="C507" s="1" t="s">
        <v>1447</v>
      </c>
      <c r="D507" s="1" t="s">
        <v>1448</v>
      </c>
      <c r="E507">
        <f t="shared" si="9"/>
        <v>83.733461795507594</v>
      </c>
    </row>
    <row r="508" spans="1:5" x14ac:dyDescent="0.2">
      <c r="A508" t="s">
        <v>1427</v>
      </c>
      <c r="B508" t="s">
        <v>1449</v>
      </c>
      <c r="C508" s="1" t="s">
        <v>1450</v>
      </c>
      <c r="D508" s="1" t="s">
        <v>1451</v>
      </c>
      <c r="E508">
        <f t="shared" si="9"/>
        <v>177.44187774775716</v>
      </c>
    </row>
    <row r="509" spans="1:5" x14ac:dyDescent="0.2">
      <c r="A509" t="s">
        <v>1427</v>
      </c>
      <c r="B509" t="s">
        <v>1452</v>
      </c>
      <c r="C509" s="1" t="s">
        <v>1453</v>
      </c>
      <c r="D509" s="1" t="s">
        <v>1454</v>
      </c>
      <c r="E509">
        <f t="shared" si="9"/>
        <v>263.47213004844559</v>
      </c>
    </row>
    <row r="510" spans="1:5" x14ac:dyDescent="0.2">
      <c r="A510" t="s">
        <v>1427</v>
      </c>
      <c r="B510" t="s">
        <v>1455</v>
      </c>
      <c r="C510" s="1" t="s">
        <v>1456</v>
      </c>
      <c r="D510" s="1" t="s">
        <v>1457</v>
      </c>
      <c r="E510">
        <f t="shared" si="9"/>
        <v>588.08794276001424</v>
      </c>
    </row>
    <row r="511" spans="1:5" x14ac:dyDescent="0.2">
      <c r="A511" t="s">
        <v>1427</v>
      </c>
      <c r="B511" t="s">
        <v>1458</v>
      </c>
      <c r="C511" s="1" t="s">
        <v>1459</v>
      </c>
      <c r="D511" s="1" t="s">
        <v>1460</v>
      </c>
      <c r="E511">
        <f t="shared" si="9"/>
        <v>363.73014722996413</v>
      </c>
    </row>
    <row r="512" spans="1:5" x14ac:dyDescent="0.2">
      <c r="A512" t="s">
        <v>1427</v>
      </c>
      <c r="B512" t="s">
        <v>1461</v>
      </c>
      <c r="C512" s="1" t="s">
        <v>1462</v>
      </c>
      <c r="D512" s="1" t="s">
        <v>1463</v>
      </c>
      <c r="E512">
        <f t="shared" si="9"/>
        <v>411.58029448884611</v>
      </c>
    </row>
    <row r="513" spans="1:5" x14ac:dyDescent="0.2">
      <c r="A513" t="s">
        <v>1427</v>
      </c>
      <c r="B513" t="s">
        <v>1464</v>
      </c>
      <c r="C513" s="1" t="s">
        <v>1465</v>
      </c>
      <c r="D513" s="1" t="s">
        <v>1466</v>
      </c>
      <c r="E513">
        <f t="shared" si="9"/>
        <v>306.42547981709907</v>
      </c>
    </row>
    <row r="514" spans="1:5" x14ac:dyDescent="0.2">
      <c r="A514" t="s">
        <v>1427</v>
      </c>
      <c r="B514" t="s">
        <v>1467</v>
      </c>
      <c r="C514" s="1" t="s">
        <v>1468</v>
      </c>
      <c r="D514" s="1" t="s">
        <v>1469</v>
      </c>
      <c r="E514">
        <f t="shared" si="9"/>
        <v>47.59087651082195</v>
      </c>
    </row>
    <row r="515" spans="1:5" x14ac:dyDescent="0.2">
      <c r="A515" t="s">
        <v>1427</v>
      </c>
      <c r="B515" t="s">
        <v>1470</v>
      </c>
      <c r="C515" s="1" t="s">
        <v>1471</v>
      </c>
      <c r="D515" s="1" t="s">
        <v>1472</v>
      </c>
      <c r="E515">
        <f t="shared" si="9"/>
        <v>416.94038639881569</v>
      </c>
    </row>
    <row r="516" spans="1:5" x14ac:dyDescent="0.2">
      <c r="A516" t="s">
        <v>1427</v>
      </c>
      <c r="B516" t="s">
        <v>1473</v>
      </c>
      <c r="C516" s="1" t="s">
        <v>1474</v>
      </c>
      <c r="D516" s="1" t="s">
        <v>1475</v>
      </c>
      <c r="E516">
        <f t="shared" si="9"/>
        <v>83.461688226536126</v>
      </c>
    </row>
    <row r="517" spans="1:5" x14ac:dyDescent="0.2">
      <c r="A517" t="s">
        <v>1427</v>
      </c>
      <c r="B517" t="s">
        <v>1476</v>
      </c>
      <c r="C517" s="1" t="s">
        <v>1477</v>
      </c>
      <c r="D517" s="1" t="s">
        <v>1478</v>
      </c>
      <c r="E517">
        <f t="shared" si="9"/>
        <v>120.02103631211828</v>
      </c>
    </row>
    <row r="518" spans="1:5" x14ac:dyDescent="0.2">
      <c r="A518" t="s">
        <v>1427</v>
      </c>
      <c r="B518" t="s">
        <v>1479</v>
      </c>
      <c r="C518">
        <v>25.1180859611231</v>
      </c>
      <c r="D518" s="1" t="s">
        <v>1480</v>
      </c>
      <c r="E518">
        <f t="shared" si="9"/>
        <v>582.27769591869958</v>
      </c>
    </row>
    <row r="519" spans="1:5" x14ac:dyDescent="0.2">
      <c r="A519" t="s">
        <v>1427</v>
      </c>
      <c r="B519" t="s">
        <v>1481</v>
      </c>
      <c r="C519">
        <v>25.159924623803001</v>
      </c>
      <c r="D519" s="1" t="s">
        <v>1482</v>
      </c>
      <c r="E519">
        <f t="shared" si="9"/>
        <v>452.45525846187337</v>
      </c>
    </row>
    <row r="520" spans="1:5" x14ac:dyDescent="0.2">
      <c r="A520" t="s">
        <v>1427</v>
      </c>
      <c r="B520" t="s">
        <v>1483</v>
      </c>
      <c r="C520" s="1" t="s">
        <v>1484</v>
      </c>
      <c r="D520">
        <v>83.824407068607101</v>
      </c>
      <c r="E520">
        <f t="shared" si="9"/>
        <v>536.16904517432863</v>
      </c>
    </row>
    <row r="521" spans="1:5" x14ac:dyDescent="0.2">
      <c r="A521" t="s">
        <v>1427</v>
      </c>
      <c r="B521" t="s">
        <v>1485</v>
      </c>
      <c r="C521" s="1" t="s">
        <v>1486</v>
      </c>
      <c r="D521" s="1" t="s">
        <v>1487</v>
      </c>
      <c r="E521">
        <f t="shared" si="9"/>
        <v>143.74052850888521</v>
      </c>
    </row>
    <row r="522" spans="1:5" x14ac:dyDescent="0.2">
      <c r="A522" t="s">
        <v>1427</v>
      </c>
      <c r="B522" t="s">
        <v>1488</v>
      </c>
      <c r="C522" s="1" t="s">
        <v>1489</v>
      </c>
      <c r="D522" s="1" t="s">
        <v>1490</v>
      </c>
      <c r="E522">
        <f t="shared" ref="E522:E585" si="10">(6371*2*ASIN(SQRT(SIN((RADIANS($K$3-C522))/2)^2+COS(RADIANS(C522))*COS(RADIANS($K$3))*SIN((RADIANS($K$4-D522))/2)^2)))</f>
        <v>227.33646718846563</v>
      </c>
    </row>
    <row r="523" spans="1:5" x14ac:dyDescent="0.2">
      <c r="A523" t="s">
        <v>1427</v>
      </c>
      <c r="B523" t="s">
        <v>1491</v>
      </c>
      <c r="C523" s="1" t="s">
        <v>1492</v>
      </c>
      <c r="D523" s="1" t="s">
        <v>1493</v>
      </c>
      <c r="E523">
        <f t="shared" si="10"/>
        <v>377.69287198865334</v>
      </c>
    </row>
    <row r="524" spans="1:5" x14ac:dyDescent="0.2">
      <c r="A524" t="s">
        <v>1427</v>
      </c>
      <c r="B524" t="s">
        <v>1494</v>
      </c>
      <c r="C524" s="1" t="s">
        <v>1495</v>
      </c>
      <c r="D524">
        <v>79.440628457446806</v>
      </c>
      <c r="E524">
        <f t="shared" si="10"/>
        <v>157.03767347326414</v>
      </c>
    </row>
    <row r="525" spans="1:5" x14ac:dyDescent="0.2">
      <c r="A525" t="s">
        <v>1427</v>
      </c>
      <c r="B525" t="s">
        <v>1496</v>
      </c>
      <c r="C525">
        <v>25.837436203090501</v>
      </c>
      <c r="D525" s="1" t="s">
        <v>1497</v>
      </c>
      <c r="E525">
        <f t="shared" si="10"/>
        <v>374.94864390841389</v>
      </c>
    </row>
    <row r="526" spans="1:5" x14ac:dyDescent="0.2">
      <c r="A526" t="s">
        <v>1427</v>
      </c>
      <c r="B526" t="s">
        <v>1498</v>
      </c>
      <c r="C526" s="1" t="s">
        <v>1499</v>
      </c>
      <c r="D526" s="1" t="s">
        <v>1500</v>
      </c>
      <c r="E526">
        <f t="shared" si="10"/>
        <v>192.50429500177435</v>
      </c>
    </row>
    <row r="527" spans="1:5" x14ac:dyDescent="0.2">
      <c r="A527" t="s">
        <v>1427</v>
      </c>
      <c r="B527" t="s">
        <v>1501</v>
      </c>
      <c r="C527" s="1" t="s">
        <v>1502</v>
      </c>
      <c r="D527" s="1" t="s">
        <v>1503</v>
      </c>
      <c r="E527">
        <f t="shared" si="10"/>
        <v>162.25476532008901</v>
      </c>
    </row>
    <row r="528" spans="1:5" x14ac:dyDescent="0.2">
      <c r="A528" t="s">
        <v>1427</v>
      </c>
      <c r="B528" t="s">
        <v>1504</v>
      </c>
      <c r="C528" s="1" t="s">
        <v>1505</v>
      </c>
      <c r="D528" s="1" t="s">
        <v>1506</v>
      </c>
      <c r="E528">
        <f t="shared" si="10"/>
        <v>140.17341332770545</v>
      </c>
    </row>
    <row r="529" spans="1:5" x14ac:dyDescent="0.2">
      <c r="A529" t="s">
        <v>1427</v>
      </c>
      <c r="B529" t="s">
        <v>1507</v>
      </c>
      <c r="C529" s="1" t="s">
        <v>1508</v>
      </c>
      <c r="D529">
        <v>83.536085457809705</v>
      </c>
      <c r="E529">
        <f t="shared" si="10"/>
        <v>564.48620085437801</v>
      </c>
    </row>
    <row r="530" spans="1:5" x14ac:dyDescent="0.2">
      <c r="A530" t="s">
        <v>1427</v>
      </c>
      <c r="B530" t="s">
        <v>1509</v>
      </c>
      <c r="C530" s="1" t="s">
        <v>1510</v>
      </c>
      <c r="D530">
        <v>82.022688802488204</v>
      </c>
      <c r="E530">
        <f t="shared" si="10"/>
        <v>341.29392100079502</v>
      </c>
    </row>
    <row r="531" spans="1:5" x14ac:dyDescent="0.2">
      <c r="A531" t="s">
        <v>1427</v>
      </c>
      <c r="B531" t="s">
        <v>1511</v>
      </c>
      <c r="C531" s="1" t="s">
        <v>1512</v>
      </c>
      <c r="D531">
        <v>83.354956037735803</v>
      </c>
      <c r="E531">
        <f t="shared" si="10"/>
        <v>484.06601353759157</v>
      </c>
    </row>
    <row r="532" spans="1:5" x14ac:dyDescent="0.2">
      <c r="A532" t="s">
        <v>1427</v>
      </c>
      <c r="B532" t="s">
        <v>494</v>
      </c>
      <c r="C532" s="1" t="s">
        <v>1513</v>
      </c>
      <c r="D532" s="1" t="s">
        <v>1514</v>
      </c>
      <c r="E532">
        <f t="shared" si="10"/>
        <v>351.27467172150085</v>
      </c>
    </row>
    <row r="533" spans="1:5" x14ac:dyDescent="0.2">
      <c r="A533" t="s">
        <v>1427</v>
      </c>
      <c r="B533" t="s">
        <v>1515</v>
      </c>
      <c r="C533" s="1" t="s">
        <v>1516</v>
      </c>
      <c r="D533" s="1" t="s">
        <v>1517</v>
      </c>
      <c r="E533">
        <f t="shared" si="10"/>
        <v>201.14310578580765</v>
      </c>
    </row>
    <row r="534" spans="1:5" x14ac:dyDescent="0.2">
      <c r="A534" t="s">
        <v>1427</v>
      </c>
      <c r="B534" t="s">
        <v>1518</v>
      </c>
      <c r="C534" s="1" t="s">
        <v>1519</v>
      </c>
      <c r="D534" s="1" t="s">
        <v>1520</v>
      </c>
      <c r="E534">
        <f t="shared" si="10"/>
        <v>166.45721720453597</v>
      </c>
    </row>
    <row r="535" spans="1:5" x14ac:dyDescent="0.2">
      <c r="A535" t="s">
        <v>1427</v>
      </c>
      <c r="B535" t="s">
        <v>1521</v>
      </c>
      <c r="C535" s="1" t="s">
        <v>1522</v>
      </c>
      <c r="D535" s="1" t="s">
        <v>1523</v>
      </c>
      <c r="E535">
        <f t="shared" si="10"/>
        <v>308.44225717565365</v>
      </c>
    </row>
    <row r="536" spans="1:5" x14ac:dyDescent="0.2">
      <c r="A536" t="s">
        <v>1427</v>
      </c>
      <c r="B536" t="s">
        <v>1524</v>
      </c>
      <c r="C536" s="1" t="s">
        <v>1525</v>
      </c>
      <c r="D536" s="1" t="s">
        <v>1526</v>
      </c>
      <c r="E536">
        <f t="shared" si="10"/>
        <v>486.12065936729158</v>
      </c>
    </row>
    <row r="537" spans="1:5" x14ac:dyDescent="0.2">
      <c r="A537" t="s">
        <v>1427</v>
      </c>
      <c r="B537" t="s">
        <v>1527</v>
      </c>
      <c r="C537" s="1" t="s">
        <v>1528</v>
      </c>
      <c r="D537" s="1" t="s">
        <v>1529</v>
      </c>
      <c r="E537">
        <f t="shared" si="10"/>
        <v>376.0398285819507</v>
      </c>
    </row>
    <row r="538" spans="1:5" x14ac:dyDescent="0.2">
      <c r="A538" t="s">
        <v>1427</v>
      </c>
      <c r="B538" t="s">
        <v>1530</v>
      </c>
      <c r="C538" s="1" t="s">
        <v>1531</v>
      </c>
      <c r="D538" s="1" t="s">
        <v>1532</v>
      </c>
      <c r="E538">
        <f t="shared" si="10"/>
        <v>70.219025665232195</v>
      </c>
    </row>
    <row r="539" spans="1:5" x14ac:dyDescent="0.2">
      <c r="A539" t="s">
        <v>1427</v>
      </c>
      <c r="B539" t="s">
        <v>1533</v>
      </c>
      <c r="C539" s="1" t="s">
        <v>1534</v>
      </c>
      <c r="D539" s="1" t="s">
        <v>1535</v>
      </c>
      <c r="E539">
        <f t="shared" si="10"/>
        <v>211.06732132481176</v>
      </c>
    </row>
    <row r="540" spans="1:5" x14ac:dyDescent="0.2">
      <c r="A540" t="s">
        <v>1427</v>
      </c>
      <c r="B540" t="s">
        <v>1536</v>
      </c>
      <c r="C540" s="1" t="s">
        <v>1537</v>
      </c>
      <c r="D540" s="1" t="s">
        <v>1538</v>
      </c>
      <c r="E540">
        <f t="shared" si="10"/>
        <v>280.71918338861127</v>
      </c>
    </row>
    <row r="541" spans="1:5" x14ac:dyDescent="0.2">
      <c r="A541" t="s">
        <v>1427</v>
      </c>
      <c r="B541" t="s">
        <v>1539</v>
      </c>
      <c r="C541">
        <v>26.370469354838701</v>
      </c>
      <c r="D541" s="1" t="s">
        <v>1540</v>
      </c>
      <c r="E541">
        <f t="shared" si="10"/>
        <v>297.52923225623124</v>
      </c>
    </row>
    <row r="542" spans="1:5" x14ac:dyDescent="0.2">
      <c r="A542" t="s">
        <v>1427</v>
      </c>
      <c r="B542" t="s">
        <v>1541</v>
      </c>
      <c r="C542" s="1" t="s">
        <v>1542</v>
      </c>
      <c r="D542" s="1" t="s">
        <v>1543</v>
      </c>
      <c r="E542">
        <f t="shared" si="10"/>
        <v>431.82443198904338</v>
      </c>
    </row>
    <row r="543" spans="1:5" x14ac:dyDescent="0.2">
      <c r="A543" t="s">
        <v>1427</v>
      </c>
      <c r="B543" t="s">
        <v>1544</v>
      </c>
      <c r="C543" s="1" t="s">
        <v>1545</v>
      </c>
      <c r="D543" s="1" t="s">
        <v>1546</v>
      </c>
      <c r="E543">
        <f t="shared" si="10"/>
        <v>519.91121673889586</v>
      </c>
    </row>
    <row r="544" spans="1:5" x14ac:dyDescent="0.2">
      <c r="A544" t="s">
        <v>1427</v>
      </c>
      <c r="B544" t="s">
        <v>1547</v>
      </c>
      <c r="C544" s="1" t="s">
        <v>1548</v>
      </c>
      <c r="D544" s="1" t="s">
        <v>1549</v>
      </c>
      <c r="E544">
        <f t="shared" si="10"/>
        <v>171.38192469703196</v>
      </c>
    </row>
    <row r="545" spans="1:5" x14ac:dyDescent="0.2">
      <c r="A545" t="s">
        <v>1427</v>
      </c>
      <c r="B545" t="s">
        <v>1550</v>
      </c>
      <c r="C545" s="1" t="s">
        <v>1551</v>
      </c>
      <c r="D545" s="1" t="s">
        <v>1552</v>
      </c>
      <c r="E545">
        <f t="shared" si="10"/>
        <v>474.57329297445978</v>
      </c>
    </row>
    <row r="546" spans="1:5" x14ac:dyDescent="0.2">
      <c r="A546" t="s">
        <v>1427</v>
      </c>
      <c r="B546" t="s">
        <v>1553</v>
      </c>
      <c r="C546" s="1" t="s">
        <v>1554</v>
      </c>
      <c r="D546" s="1" t="s">
        <v>1555</v>
      </c>
      <c r="E546">
        <f t="shared" si="10"/>
        <v>282.93189214770598</v>
      </c>
    </row>
    <row r="547" spans="1:5" x14ac:dyDescent="0.2">
      <c r="A547" t="s">
        <v>1427</v>
      </c>
      <c r="B547" t="s">
        <v>1556</v>
      </c>
      <c r="C547" s="1" t="s">
        <v>1557</v>
      </c>
      <c r="D547" s="1" t="s">
        <v>1558</v>
      </c>
      <c r="E547">
        <f t="shared" si="10"/>
        <v>465.12894221419242</v>
      </c>
    </row>
    <row r="548" spans="1:5" x14ac:dyDescent="0.2">
      <c r="A548" t="s">
        <v>1427</v>
      </c>
      <c r="B548" t="s">
        <v>1559</v>
      </c>
      <c r="C548" s="1" t="s">
        <v>1560</v>
      </c>
      <c r="D548" s="1" t="s">
        <v>1561</v>
      </c>
      <c r="E548">
        <f t="shared" si="10"/>
        <v>391.81931646407031</v>
      </c>
    </row>
    <row r="549" spans="1:5" x14ac:dyDescent="0.2">
      <c r="A549" t="s">
        <v>1427</v>
      </c>
      <c r="B549" t="s">
        <v>1562</v>
      </c>
      <c r="C549" s="1" t="s">
        <v>1563</v>
      </c>
      <c r="D549" s="1" t="s">
        <v>1564</v>
      </c>
      <c r="E549">
        <f t="shared" si="10"/>
        <v>184.57148456499615</v>
      </c>
    </row>
    <row r="550" spans="1:5" x14ac:dyDescent="0.2">
      <c r="A550" t="s">
        <v>1427</v>
      </c>
      <c r="B550" t="s">
        <v>1565</v>
      </c>
      <c r="C550" s="1" t="s">
        <v>1566</v>
      </c>
      <c r="D550" s="1" t="s">
        <v>1567</v>
      </c>
      <c r="E550">
        <f t="shared" si="10"/>
        <v>200.57318135546186</v>
      </c>
    </row>
    <row r="551" spans="1:5" x14ac:dyDescent="0.2">
      <c r="A551" t="s">
        <v>1427</v>
      </c>
      <c r="B551" t="s">
        <v>1568</v>
      </c>
      <c r="C551" s="1" t="s">
        <v>1569</v>
      </c>
      <c r="D551" s="1" t="s">
        <v>1570</v>
      </c>
      <c r="E551">
        <f t="shared" si="10"/>
        <v>535.36583460075428</v>
      </c>
    </row>
    <row r="552" spans="1:5" x14ac:dyDescent="0.2">
      <c r="A552" t="s">
        <v>1427</v>
      </c>
      <c r="B552" t="s">
        <v>1571</v>
      </c>
      <c r="C552" s="1" t="s">
        <v>1572</v>
      </c>
      <c r="D552" s="1" t="s">
        <v>1573</v>
      </c>
      <c r="E552">
        <f t="shared" si="10"/>
        <v>128.74894905030123</v>
      </c>
    </row>
    <row r="553" spans="1:5" x14ac:dyDescent="0.2">
      <c r="A553" t="s">
        <v>1427</v>
      </c>
      <c r="B553" t="s">
        <v>1574</v>
      </c>
      <c r="C553" s="1" t="s">
        <v>1575</v>
      </c>
      <c r="D553" s="1" t="s">
        <v>1576</v>
      </c>
      <c r="E553">
        <f t="shared" si="10"/>
        <v>540.09776920407046</v>
      </c>
    </row>
    <row r="554" spans="1:5" x14ac:dyDescent="0.2">
      <c r="A554" t="s">
        <v>1427</v>
      </c>
      <c r="B554" t="s">
        <v>1577</v>
      </c>
      <c r="C554" s="1" t="s">
        <v>1578</v>
      </c>
      <c r="D554" s="1" t="s">
        <v>1579</v>
      </c>
      <c r="E554">
        <f t="shared" si="10"/>
        <v>36.488661405222977</v>
      </c>
    </row>
    <row r="555" spans="1:5" x14ac:dyDescent="0.2">
      <c r="A555" t="s">
        <v>1427</v>
      </c>
      <c r="B555" t="s">
        <v>1580</v>
      </c>
      <c r="C555" s="1" t="s">
        <v>1581</v>
      </c>
      <c r="D555" s="1" t="s">
        <v>1582</v>
      </c>
      <c r="E555">
        <f t="shared" si="10"/>
        <v>159.37407069156336</v>
      </c>
    </row>
    <row r="556" spans="1:5" x14ac:dyDescent="0.2">
      <c r="A556" t="s">
        <v>1427</v>
      </c>
      <c r="B556" t="s">
        <v>1583</v>
      </c>
      <c r="C556" s="1" t="s">
        <v>1584</v>
      </c>
      <c r="D556" s="1" t="s">
        <v>1585</v>
      </c>
      <c r="E556">
        <f t="shared" si="10"/>
        <v>84.639728452148418</v>
      </c>
    </row>
    <row r="557" spans="1:5" x14ac:dyDescent="0.2">
      <c r="A557" t="s">
        <v>1427</v>
      </c>
      <c r="B557" t="s">
        <v>1586</v>
      </c>
      <c r="C557" s="1" t="s">
        <v>1587</v>
      </c>
      <c r="D557" s="1" t="s">
        <v>1588</v>
      </c>
      <c r="E557">
        <f t="shared" si="10"/>
        <v>432.12525634866182</v>
      </c>
    </row>
    <row r="558" spans="1:5" x14ac:dyDescent="0.2">
      <c r="A558" t="s">
        <v>1427</v>
      </c>
      <c r="B558" t="s">
        <v>1589</v>
      </c>
      <c r="C558" s="1" t="s">
        <v>1590</v>
      </c>
      <c r="D558" s="1" t="s">
        <v>1591</v>
      </c>
      <c r="E558">
        <f t="shared" si="10"/>
        <v>354.38296438800046</v>
      </c>
    </row>
    <row r="559" spans="1:5" x14ac:dyDescent="0.2">
      <c r="A559" t="s">
        <v>1427</v>
      </c>
      <c r="B559" t="s">
        <v>1592</v>
      </c>
      <c r="C559" s="1" t="s">
        <v>1593</v>
      </c>
      <c r="D559" s="1" t="s">
        <v>1594</v>
      </c>
      <c r="E559">
        <f t="shared" si="10"/>
        <v>0</v>
      </c>
    </row>
    <row r="560" spans="1:5" x14ac:dyDescent="0.2">
      <c r="A560" t="s">
        <v>1427</v>
      </c>
      <c r="B560" t="s">
        <v>1595</v>
      </c>
      <c r="C560" s="1" t="s">
        <v>1596</v>
      </c>
      <c r="D560" s="1" t="s">
        <v>1597</v>
      </c>
      <c r="E560">
        <f t="shared" si="10"/>
        <v>198.11056531645156</v>
      </c>
    </row>
    <row r="561" spans="1:5" x14ac:dyDescent="0.2">
      <c r="A561" t="s">
        <v>1427</v>
      </c>
      <c r="B561" t="s">
        <v>1598</v>
      </c>
      <c r="C561" s="1" t="s">
        <v>1599</v>
      </c>
      <c r="D561">
        <v>83.038776434426197</v>
      </c>
      <c r="E561">
        <f t="shared" si="10"/>
        <v>448.07932738644524</v>
      </c>
    </row>
    <row r="562" spans="1:5" x14ac:dyDescent="0.2">
      <c r="A562" t="s">
        <v>1427</v>
      </c>
      <c r="B562" t="s">
        <v>1600</v>
      </c>
      <c r="C562" s="1" t="s">
        <v>1601</v>
      </c>
      <c r="D562" s="1" t="s">
        <v>1602</v>
      </c>
      <c r="E562">
        <f t="shared" si="10"/>
        <v>506.92371309265383</v>
      </c>
    </row>
    <row r="563" spans="1:5" x14ac:dyDescent="0.2">
      <c r="A563" t="s">
        <v>1427</v>
      </c>
      <c r="B563" t="s">
        <v>1603</v>
      </c>
      <c r="C563" s="1" t="s">
        <v>1604</v>
      </c>
      <c r="D563">
        <v>79.830227532467504</v>
      </c>
      <c r="E563">
        <f t="shared" si="10"/>
        <v>117.0934830658893</v>
      </c>
    </row>
    <row r="564" spans="1:5" x14ac:dyDescent="0.2">
      <c r="A564" t="s">
        <v>1427</v>
      </c>
      <c r="B564" t="s">
        <v>1605</v>
      </c>
      <c r="C564" s="1" t="s">
        <v>1606</v>
      </c>
      <c r="D564" s="1" t="s">
        <v>1607</v>
      </c>
      <c r="E564">
        <f t="shared" si="10"/>
        <v>296.22650349017636</v>
      </c>
    </row>
    <row r="565" spans="1:5" x14ac:dyDescent="0.2">
      <c r="A565" t="s">
        <v>1427</v>
      </c>
      <c r="B565" t="s">
        <v>1608</v>
      </c>
      <c r="C565" s="1" t="s">
        <v>1609</v>
      </c>
      <c r="D565" s="1" t="s">
        <v>1610</v>
      </c>
      <c r="E565">
        <f t="shared" si="10"/>
        <v>403.60112021784363</v>
      </c>
    </row>
    <row r="566" spans="1:5" x14ac:dyDescent="0.2">
      <c r="A566" t="s">
        <v>1427</v>
      </c>
      <c r="B566" t="s">
        <v>1611</v>
      </c>
      <c r="C566" s="1" t="s">
        <v>1612</v>
      </c>
      <c r="D566" s="1" t="s">
        <v>1613</v>
      </c>
      <c r="E566">
        <f t="shared" si="10"/>
        <v>226.00933032093658</v>
      </c>
    </row>
    <row r="567" spans="1:5" x14ac:dyDescent="0.2">
      <c r="A567" t="s">
        <v>1427</v>
      </c>
      <c r="B567" t="s">
        <v>1614</v>
      </c>
      <c r="C567" s="1" t="s">
        <v>1615</v>
      </c>
      <c r="D567" s="1" t="s">
        <v>1616</v>
      </c>
      <c r="E567">
        <f t="shared" si="10"/>
        <v>624.7000309814033</v>
      </c>
    </row>
    <row r="568" spans="1:5" x14ac:dyDescent="0.2">
      <c r="A568" t="s">
        <v>1427</v>
      </c>
      <c r="B568" t="s">
        <v>1617</v>
      </c>
      <c r="C568">
        <v>26.284638641975299</v>
      </c>
      <c r="D568" s="1" t="s">
        <v>1618</v>
      </c>
      <c r="E568">
        <f t="shared" si="10"/>
        <v>405.76745339958796</v>
      </c>
    </row>
    <row r="569" spans="1:5" x14ac:dyDescent="0.2">
      <c r="A569" t="s">
        <v>1427</v>
      </c>
      <c r="B569" t="s">
        <v>1619</v>
      </c>
      <c r="C569" s="1" t="s">
        <v>1620</v>
      </c>
      <c r="D569">
        <v>80.636773292868</v>
      </c>
      <c r="E569">
        <f t="shared" si="10"/>
        <v>287.1745024310917</v>
      </c>
    </row>
    <row r="570" spans="1:5" x14ac:dyDescent="0.2">
      <c r="A570" t="s">
        <v>1427</v>
      </c>
      <c r="B570" t="s">
        <v>1621</v>
      </c>
      <c r="C570" s="1" t="s">
        <v>1622</v>
      </c>
      <c r="D570" s="1" t="s">
        <v>1623</v>
      </c>
      <c r="E570">
        <f t="shared" si="10"/>
        <v>533.13409212122303</v>
      </c>
    </row>
    <row r="571" spans="1:5" x14ac:dyDescent="0.2">
      <c r="A571" t="s">
        <v>1624</v>
      </c>
      <c r="B571" t="s">
        <v>1625</v>
      </c>
      <c r="C571" s="1" t="s">
        <v>1626</v>
      </c>
      <c r="D571" s="1" t="s">
        <v>1627</v>
      </c>
      <c r="E571">
        <f t="shared" si="10"/>
        <v>101.98619581951466</v>
      </c>
    </row>
    <row r="572" spans="1:5" x14ac:dyDescent="0.2">
      <c r="A572" t="s">
        <v>1624</v>
      </c>
      <c r="B572" t="s">
        <v>1628</v>
      </c>
      <c r="C572" s="1" t="s">
        <v>1629</v>
      </c>
      <c r="D572" s="1" t="s">
        <v>1630</v>
      </c>
      <c r="E572">
        <f t="shared" si="10"/>
        <v>146.55763698676193</v>
      </c>
    </row>
    <row r="573" spans="1:5" x14ac:dyDescent="0.2">
      <c r="A573" t="s">
        <v>1624</v>
      </c>
      <c r="B573" t="s">
        <v>1631</v>
      </c>
      <c r="C573" s="1" t="s">
        <v>1632</v>
      </c>
      <c r="D573" s="1" t="s">
        <v>1633</v>
      </c>
      <c r="E573">
        <f t="shared" si="10"/>
        <v>199.55070650230323</v>
      </c>
    </row>
    <row r="574" spans="1:5" x14ac:dyDescent="0.2">
      <c r="A574" t="s">
        <v>1624</v>
      </c>
      <c r="B574" t="s">
        <v>1634</v>
      </c>
      <c r="C574" s="1" t="s">
        <v>1635</v>
      </c>
      <c r="D574" s="1" t="s">
        <v>1636</v>
      </c>
      <c r="E574">
        <f t="shared" si="10"/>
        <v>106.98601757208861</v>
      </c>
    </row>
    <row r="575" spans="1:5" x14ac:dyDescent="0.2">
      <c r="A575" t="s">
        <v>1624</v>
      </c>
      <c r="B575" t="s">
        <v>1637</v>
      </c>
      <c r="C575" s="1" t="s">
        <v>1638</v>
      </c>
      <c r="D575">
        <v>77.908841248469997</v>
      </c>
      <c r="E575">
        <f t="shared" si="10"/>
        <v>221.87261251550842</v>
      </c>
    </row>
    <row r="576" spans="1:5" x14ac:dyDescent="0.2">
      <c r="A576" t="s">
        <v>1624</v>
      </c>
      <c r="B576" t="s">
        <v>1639</v>
      </c>
      <c r="C576" s="1" t="s">
        <v>1640</v>
      </c>
      <c r="D576" s="1" t="s">
        <v>1641</v>
      </c>
      <c r="E576">
        <f t="shared" si="10"/>
        <v>163.71261188319545</v>
      </c>
    </row>
    <row r="577" spans="1:5" x14ac:dyDescent="0.2">
      <c r="A577" t="s">
        <v>1624</v>
      </c>
      <c r="B577" t="s">
        <v>1642</v>
      </c>
      <c r="C577" s="1" t="s">
        <v>1643</v>
      </c>
      <c r="D577">
        <v>79.499791183879097</v>
      </c>
      <c r="E577">
        <f t="shared" si="10"/>
        <v>67.647093970783061</v>
      </c>
    </row>
    <row r="578" spans="1:5" x14ac:dyDescent="0.2">
      <c r="A578" t="s">
        <v>1624</v>
      </c>
      <c r="B578" t="s">
        <v>1644</v>
      </c>
      <c r="C578" s="1" t="s">
        <v>1645</v>
      </c>
      <c r="D578" s="1" t="s">
        <v>1646</v>
      </c>
      <c r="E578">
        <f t="shared" si="10"/>
        <v>131.46184062567178</v>
      </c>
    </row>
    <row r="579" spans="1:5" x14ac:dyDescent="0.2">
      <c r="A579" t="s">
        <v>1624</v>
      </c>
      <c r="B579" t="s">
        <v>1647</v>
      </c>
      <c r="C579" s="1" t="s">
        <v>1648</v>
      </c>
      <c r="D579" s="1" t="s">
        <v>1649</v>
      </c>
      <c r="E579">
        <f t="shared" si="10"/>
        <v>188.68643019682554</v>
      </c>
    </row>
    <row r="580" spans="1:5" x14ac:dyDescent="0.2">
      <c r="A580" t="s">
        <v>1624</v>
      </c>
      <c r="B580" t="s">
        <v>1650</v>
      </c>
      <c r="C580" s="1" t="s">
        <v>1651</v>
      </c>
      <c r="D580" s="1" t="s">
        <v>1652</v>
      </c>
      <c r="E580">
        <f t="shared" si="10"/>
        <v>191.72042579784909</v>
      </c>
    </row>
    <row r="581" spans="1:5" x14ac:dyDescent="0.2">
      <c r="A581" t="s">
        <v>1624</v>
      </c>
      <c r="B581" t="s">
        <v>1653</v>
      </c>
      <c r="C581" s="1" t="s">
        <v>1654</v>
      </c>
      <c r="D581" s="1" t="s">
        <v>1655</v>
      </c>
      <c r="E581">
        <f t="shared" si="10"/>
        <v>191.0839366998558</v>
      </c>
    </row>
    <row r="582" spans="1:5" x14ac:dyDescent="0.2">
      <c r="A582" t="s">
        <v>1624</v>
      </c>
      <c r="B582" t="s">
        <v>1656</v>
      </c>
      <c r="C582" s="1" t="s">
        <v>1657</v>
      </c>
      <c r="D582" s="1" t="s">
        <v>1658</v>
      </c>
      <c r="E582">
        <f t="shared" si="10"/>
        <v>40.11294859228871</v>
      </c>
    </row>
    <row r="583" spans="1:5" x14ac:dyDescent="0.2">
      <c r="A583" t="s">
        <v>1624</v>
      </c>
      <c r="B583" t="s">
        <v>1659</v>
      </c>
      <c r="C583" s="1" t="s">
        <v>1660</v>
      </c>
      <c r="D583" s="1" t="s">
        <v>1661</v>
      </c>
      <c r="E583">
        <f t="shared" si="10"/>
        <v>243.22354838642272</v>
      </c>
    </row>
    <row r="584" spans="1:5" x14ac:dyDescent="0.2">
      <c r="A584" t="s">
        <v>1662</v>
      </c>
      <c r="B584" t="s">
        <v>1663</v>
      </c>
      <c r="C584" s="1" t="s">
        <v>1664</v>
      </c>
      <c r="D584" s="1" t="s">
        <v>1665</v>
      </c>
      <c r="E584">
        <f t="shared" si="10"/>
        <v>1024.8008402550374</v>
      </c>
    </row>
    <row r="585" spans="1:5" x14ac:dyDescent="0.2">
      <c r="A585" t="s">
        <v>1662</v>
      </c>
      <c r="B585" t="s">
        <v>1666</v>
      </c>
      <c r="C585" s="1" t="s">
        <v>1667</v>
      </c>
      <c r="D585">
        <v>87.815058111111099</v>
      </c>
      <c r="E585">
        <f t="shared" si="10"/>
        <v>1054.9139789225906</v>
      </c>
    </row>
    <row r="586" spans="1:5" x14ac:dyDescent="0.2">
      <c r="A586" t="s">
        <v>1662</v>
      </c>
      <c r="B586" t="s">
        <v>1668</v>
      </c>
      <c r="C586">
        <v>24.063893427229999</v>
      </c>
      <c r="D586" s="1" t="s">
        <v>1669</v>
      </c>
      <c r="E586">
        <f t="shared" ref="E586:E602" si="11">(6371*2*ASIN(SQRT(SIN((RADIANS($K$3-C586))/2)^2+COS(RADIANS(C586))*COS(RADIANS($K$3))*SIN((RADIANS($K$4-D586))/2)^2)))</f>
        <v>1001.661399141714</v>
      </c>
    </row>
    <row r="587" spans="1:5" x14ac:dyDescent="0.2">
      <c r="A587" t="s">
        <v>1662</v>
      </c>
      <c r="B587" t="s">
        <v>1670</v>
      </c>
      <c r="C587" s="1" t="s">
        <v>1671</v>
      </c>
      <c r="D587" s="1" t="s">
        <v>1672</v>
      </c>
      <c r="E587">
        <f t="shared" si="11"/>
        <v>1025.0619751548795</v>
      </c>
    </row>
    <row r="588" spans="1:5" x14ac:dyDescent="0.2">
      <c r="A588" t="s">
        <v>1662</v>
      </c>
      <c r="B588" t="s">
        <v>1673</v>
      </c>
      <c r="C588" s="1" t="s">
        <v>1674</v>
      </c>
      <c r="D588" s="1" t="s">
        <v>1675</v>
      </c>
      <c r="E588">
        <f t="shared" si="11"/>
        <v>933.14617851078776</v>
      </c>
    </row>
    <row r="589" spans="1:5" x14ac:dyDescent="0.2">
      <c r="A589" t="s">
        <v>1662</v>
      </c>
      <c r="B589" t="s">
        <v>1676</v>
      </c>
      <c r="C589" s="1" t="s">
        <v>1677</v>
      </c>
      <c r="D589">
        <v>87.922808259033403</v>
      </c>
      <c r="E589">
        <f t="shared" si="11"/>
        <v>1166.2700061675491</v>
      </c>
    </row>
    <row r="590" spans="1:5" x14ac:dyDescent="0.2">
      <c r="A590" t="s">
        <v>1662</v>
      </c>
      <c r="B590" t="s">
        <v>1678</v>
      </c>
      <c r="C590" s="1" t="s">
        <v>1679</v>
      </c>
      <c r="D590" s="1" t="s">
        <v>1680</v>
      </c>
      <c r="E590">
        <f t="shared" si="11"/>
        <v>1141.5503126596059</v>
      </c>
    </row>
    <row r="591" spans="1:5" x14ac:dyDescent="0.2">
      <c r="A591" t="s">
        <v>1662</v>
      </c>
      <c r="B591" t="s">
        <v>1681</v>
      </c>
      <c r="C591" s="1" t="s">
        <v>1682</v>
      </c>
      <c r="D591" s="1" t="s">
        <v>1683</v>
      </c>
      <c r="E591">
        <f t="shared" si="11"/>
        <v>1108.178877569323</v>
      </c>
    </row>
    <row r="592" spans="1:5" x14ac:dyDescent="0.2">
      <c r="A592" t="s">
        <v>1662</v>
      </c>
      <c r="B592" t="s">
        <v>1684</v>
      </c>
      <c r="C592" s="1" t="s">
        <v>1685</v>
      </c>
      <c r="D592" s="1" t="s">
        <v>1686</v>
      </c>
      <c r="E592">
        <f t="shared" si="11"/>
        <v>1007.474349682187</v>
      </c>
    </row>
    <row r="593" spans="1:5" x14ac:dyDescent="0.2">
      <c r="A593" t="s">
        <v>1662</v>
      </c>
      <c r="B593" t="s">
        <v>1687</v>
      </c>
      <c r="C593" s="1" t="s">
        <v>1688</v>
      </c>
      <c r="D593" s="1" t="s">
        <v>1689</v>
      </c>
      <c r="E593">
        <f t="shared" si="11"/>
        <v>1045.0692386642909</v>
      </c>
    </row>
    <row r="594" spans="1:5" x14ac:dyDescent="0.2">
      <c r="A594" t="s">
        <v>1662</v>
      </c>
      <c r="B594" t="s">
        <v>1690</v>
      </c>
      <c r="C594" s="1" t="s">
        <v>1691</v>
      </c>
      <c r="D594">
        <v>88.352764814814805</v>
      </c>
      <c r="E594">
        <f t="shared" si="11"/>
        <v>1159.2671532511615</v>
      </c>
    </row>
    <row r="595" spans="1:5" x14ac:dyDescent="0.2">
      <c r="A595" t="s">
        <v>1662</v>
      </c>
      <c r="B595" t="s">
        <v>1692</v>
      </c>
      <c r="C595" s="1" t="s">
        <v>1693</v>
      </c>
      <c r="D595" s="1" t="s">
        <v>1694</v>
      </c>
      <c r="E595">
        <f t="shared" si="11"/>
        <v>989.92459704363671</v>
      </c>
    </row>
    <row r="596" spans="1:5" x14ac:dyDescent="0.2">
      <c r="A596" t="s">
        <v>1662</v>
      </c>
      <c r="B596" t="s">
        <v>1695</v>
      </c>
      <c r="C596" s="1" t="s">
        <v>1696</v>
      </c>
      <c r="D596" s="1" t="s">
        <v>1697</v>
      </c>
      <c r="E596">
        <f t="shared" si="11"/>
        <v>1034.1061235274449</v>
      </c>
    </row>
    <row r="597" spans="1:5" x14ac:dyDescent="0.2">
      <c r="A597" t="s">
        <v>1662</v>
      </c>
      <c r="B597" t="s">
        <v>1698</v>
      </c>
      <c r="C597" s="1" t="s">
        <v>1699</v>
      </c>
      <c r="D597" s="1" t="s">
        <v>1700</v>
      </c>
      <c r="E597">
        <f t="shared" si="11"/>
        <v>1111.3108102310971</v>
      </c>
    </row>
    <row r="598" spans="1:5" x14ac:dyDescent="0.2">
      <c r="A598" t="s">
        <v>1662</v>
      </c>
      <c r="B598" t="s">
        <v>1701</v>
      </c>
      <c r="C598" s="1" t="s">
        <v>1702</v>
      </c>
      <c r="D598" s="1" t="s">
        <v>1703</v>
      </c>
      <c r="E598">
        <f t="shared" si="11"/>
        <v>1235.4508488168221</v>
      </c>
    </row>
    <row r="599" spans="1:5" x14ac:dyDescent="0.2">
      <c r="A599" t="s">
        <v>1662</v>
      </c>
      <c r="B599" t="s">
        <v>1704</v>
      </c>
      <c r="C599" s="1" t="s">
        <v>1705</v>
      </c>
      <c r="D599">
        <v>86.396853287671306</v>
      </c>
      <c r="E599">
        <f t="shared" si="11"/>
        <v>955.97255868427476</v>
      </c>
    </row>
    <row r="600" spans="1:5" x14ac:dyDescent="0.2">
      <c r="A600" t="s">
        <v>1662</v>
      </c>
      <c r="B600" t="s">
        <v>1706</v>
      </c>
      <c r="C600" s="1" t="s">
        <v>1707</v>
      </c>
      <c r="D600" s="1" t="s">
        <v>1708</v>
      </c>
      <c r="E600">
        <f t="shared" si="11"/>
        <v>1216.5635149979782</v>
      </c>
    </row>
    <row r="601" spans="1:5" x14ac:dyDescent="0.2">
      <c r="A601" t="s">
        <v>1662</v>
      </c>
      <c r="B601" t="s">
        <v>1709</v>
      </c>
      <c r="C601" s="1" t="s">
        <v>1710</v>
      </c>
      <c r="D601" s="1" t="s">
        <v>1711</v>
      </c>
      <c r="E601">
        <f t="shared" si="11"/>
        <v>952.13987467290224</v>
      </c>
    </row>
    <row r="602" spans="1:5" x14ac:dyDescent="0.2">
      <c r="A602" t="s">
        <v>1662</v>
      </c>
      <c r="B602" t="s">
        <v>1712</v>
      </c>
      <c r="C602" s="1" t="s">
        <v>1713</v>
      </c>
      <c r="D602" s="1" t="s">
        <v>1714</v>
      </c>
      <c r="E602">
        <f t="shared" si="11"/>
        <v>1086.5966556504666</v>
      </c>
    </row>
  </sheetData>
  <mergeCells count="1">
    <mergeCell ref="J1:K1"/>
  </mergeCells>
  <conditionalFormatting sqref="A9:E602">
    <cfRule type="expression" dxfId="1" priority="3" stopIfTrue="1">
      <formula>AND($E9&lt;=$K$5, $E9&gt;0)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A92C-CB8D-B042-A4A4-6AF287199FD7}">
  <dimension ref="A1:G602"/>
  <sheetViews>
    <sheetView workbookViewId="0">
      <selection sqref="A1:B1"/>
    </sheetView>
  </sheetViews>
  <sheetFormatPr baseColWidth="10" defaultRowHeight="16" x14ac:dyDescent="0.2"/>
  <cols>
    <col min="1" max="1" width="24.33203125" customWidth="1"/>
    <col min="2" max="2" width="17.33203125" customWidth="1"/>
    <col min="3" max="3" width="20.5" customWidth="1"/>
    <col min="4" max="4" width="17.83203125" customWidth="1"/>
    <col min="6" max="6" width="19.33203125" customWidth="1"/>
  </cols>
  <sheetData>
    <row r="1" spans="1:7" x14ac:dyDescent="0.2">
      <c r="A1" s="54" t="s">
        <v>2142</v>
      </c>
      <c r="B1" s="54"/>
    </row>
    <row r="2" spans="1:7" ht="34" x14ac:dyDescent="0.25">
      <c r="A2" s="19" t="s">
        <v>1738</v>
      </c>
      <c r="B2" s="20">
        <v>13</v>
      </c>
      <c r="F2" s="24" t="s">
        <v>1743</v>
      </c>
      <c r="G2" s="25">
        <f>COUNTIFS(C9:C602, "&gt;=" &amp; $B$2, C9:C602, "&lt;=" &amp; $B$3, D9:D602, "&gt;=" &amp; $B$4, D9:D602, "&lt;=" &amp; $B$5)</f>
        <v>76</v>
      </c>
    </row>
    <row r="3" spans="1:7" ht="17" x14ac:dyDescent="0.25">
      <c r="A3" s="19" t="s">
        <v>1739</v>
      </c>
      <c r="B3" s="20">
        <v>20</v>
      </c>
    </row>
    <row r="4" spans="1:7" ht="17" x14ac:dyDescent="0.25">
      <c r="A4" s="19" t="s">
        <v>1740</v>
      </c>
      <c r="B4" s="20">
        <v>70</v>
      </c>
    </row>
    <row r="5" spans="1:7" ht="17" x14ac:dyDescent="0.25">
      <c r="A5" s="19" t="s">
        <v>1741</v>
      </c>
      <c r="B5" s="20">
        <v>95</v>
      </c>
    </row>
    <row r="8" spans="1:7" ht="75" customHeight="1" x14ac:dyDescent="0.2">
      <c r="A8" s="21" t="s">
        <v>0</v>
      </c>
      <c r="B8" s="21" t="s">
        <v>1</v>
      </c>
      <c r="C8" s="21" t="s">
        <v>2</v>
      </c>
      <c r="D8" s="21" t="s">
        <v>3</v>
      </c>
      <c r="E8" s="22"/>
      <c r="F8" s="23" t="s">
        <v>1742</v>
      </c>
    </row>
    <row r="9" spans="1:7" x14ac:dyDescent="0.2">
      <c r="A9" t="s">
        <v>4</v>
      </c>
      <c r="B9" t="s">
        <v>5</v>
      </c>
      <c r="C9" s="1">
        <v>12.382571069235</v>
      </c>
      <c r="D9" s="1">
        <v>92.822910506414999</v>
      </c>
      <c r="F9" s="16" t="str" cm="1">
        <f t="array" ref="F9:F84">_xlfn._xlws.FILTER(B9:B602, ($C9:$C602&gt;=$B$2) * ($C9:$C602&lt;=$B$3) * ($D9:$D602&gt;=$B$4) * ($D9:$D602&lt;=$B$5), "None in area")</f>
        <v>Adilabad</v>
      </c>
    </row>
    <row r="10" spans="1:7" x14ac:dyDescent="0.2">
      <c r="A10" t="s">
        <v>4</v>
      </c>
      <c r="B10" t="s">
        <v>8</v>
      </c>
      <c r="C10" s="1">
        <v>7.8352907497741899</v>
      </c>
      <c r="D10" s="1">
        <v>93.511601237578503</v>
      </c>
      <c r="F10" t="str">
        <v>Anantapur</v>
      </c>
    </row>
    <row r="11" spans="1:7" x14ac:dyDescent="0.2">
      <c r="A11" t="s">
        <v>11</v>
      </c>
      <c r="B11" t="s">
        <v>12</v>
      </c>
      <c r="C11" s="1">
        <v>19.2845139500734</v>
      </c>
      <c r="D11" s="1">
        <v>78.813212334801705</v>
      </c>
      <c r="F11" t="str">
        <v>Chittoor</v>
      </c>
    </row>
    <row r="12" spans="1:7" x14ac:dyDescent="0.2">
      <c r="A12" t="s">
        <v>11</v>
      </c>
      <c r="B12" t="s">
        <v>15</v>
      </c>
      <c r="C12" s="1">
        <v>14.312065561843101</v>
      </c>
      <c r="D12" s="18">
        <v>77.460158447857694</v>
      </c>
      <c r="F12" t="str">
        <v>Cuddapah</v>
      </c>
    </row>
    <row r="13" spans="1:7" x14ac:dyDescent="0.2">
      <c r="A13" t="s">
        <v>11</v>
      </c>
      <c r="B13" t="s">
        <v>17</v>
      </c>
      <c r="C13" s="1">
        <v>13.331092630676901</v>
      </c>
      <c r="D13" s="1">
        <v>78.927638988860295</v>
      </c>
      <c r="F13" t="str">
        <v>East Godavari</v>
      </c>
    </row>
    <row r="14" spans="1:7" x14ac:dyDescent="0.2">
      <c r="A14" t="s">
        <v>11</v>
      </c>
      <c r="B14" t="s">
        <v>20</v>
      </c>
      <c r="C14" s="1">
        <v>14.4902891341256</v>
      </c>
      <c r="D14" s="1">
        <v>78.696138709677498</v>
      </c>
      <c r="F14" t="str">
        <v>Guntur</v>
      </c>
    </row>
    <row r="15" spans="1:7" x14ac:dyDescent="0.2">
      <c r="A15" t="s">
        <v>11</v>
      </c>
      <c r="B15" t="s">
        <v>23</v>
      </c>
      <c r="C15" s="1">
        <v>16.782718320784898</v>
      </c>
      <c r="D15" s="18">
        <v>82.243207472051097</v>
      </c>
      <c r="F15" t="str">
        <v>Hyderabad</v>
      </c>
    </row>
    <row r="16" spans="1:7" x14ac:dyDescent="0.2">
      <c r="A16" t="s">
        <v>11</v>
      </c>
      <c r="B16" t="s">
        <v>25</v>
      </c>
      <c r="C16" s="1">
        <v>15.884925767634799</v>
      </c>
      <c r="D16" s="1">
        <v>80.586576141078794</v>
      </c>
      <c r="F16" t="str">
        <v>Karimnagar</v>
      </c>
    </row>
    <row r="17" spans="1:6" x14ac:dyDescent="0.2">
      <c r="A17" t="s">
        <v>11</v>
      </c>
      <c r="B17" t="s">
        <v>28</v>
      </c>
      <c r="C17" s="1">
        <v>17.389715555555501</v>
      </c>
      <c r="D17" s="1">
        <v>78.466688888888797</v>
      </c>
      <c r="F17" t="str">
        <v>Khammam</v>
      </c>
    </row>
    <row r="18" spans="1:6" x14ac:dyDescent="0.2">
      <c r="A18" t="s">
        <v>11</v>
      </c>
      <c r="B18" t="s">
        <v>31</v>
      </c>
      <c r="C18" s="1">
        <v>18.515483193277301</v>
      </c>
      <c r="D18" s="1">
        <v>79.437654285714103</v>
      </c>
      <c r="F18" t="str">
        <v>Krishna</v>
      </c>
    </row>
    <row r="19" spans="1:6" x14ac:dyDescent="0.2">
      <c r="A19" t="s">
        <v>11</v>
      </c>
      <c r="B19" t="s">
        <v>34</v>
      </c>
      <c r="C19" s="1">
        <v>17.683921325051699</v>
      </c>
      <c r="D19" s="1">
        <v>80.670086438923306</v>
      </c>
      <c r="F19" t="str">
        <v>Kurnool</v>
      </c>
    </row>
    <row r="20" spans="1:6" x14ac:dyDescent="0.2">
      <c r="A20" t="s">
        <v>11</v>
      </c>
      <c r="B20" t="s">
        <v>37</v>
      </c>
      <c r="C20" s="1">
        <v>16.143872753151602</v>
      </c>
      <c r="D20" s="1">
        <v>81.148050610004105</v>
      </c>
      <c r="F20" t="str">
        <v>Mahbubnagar</v>
      </c>
    </row>
    <row r="21" spans="1:6" x14ac:dyDescent="0.2">
      <c r="A21" t="s">
        <v>11</v>
      </c>
      <c r="B21" t="s">
        <v>40</v>
      </c>
      <c r="C21" s="1">
        <v>15.4375971514242</v>
      </c>
      <c r="D21" s="1">
        <v>77.900868365817104</v>
      </c>
      <c r="F21" t="str">
        <v>Medak</v>
      </c>
    </row>
    <row r="22" spans="1:6" x14ac:dyDescent="0.2">
      <c r="A22" t="s">
        <v>11</v>
      </c>
      <c r="B22" t="s">
        <v>43</v>
      </c>
      <c r="C22" s="1">
        <v>16.6395462242562</v>
      </c>
      <c r="D22" s="1">
        <v>77.989330892448507</v>
      </c>
      <c r="F22" t="str">
        <v>Nalgonda</v>
      </c>
    </row>
    <row r="23" spans="1:6" x14ac:dyDescent="0.2">
      <c r="A23" t="s">
        <v>11</v>
      </c>
      <c r="B23" t="s">
        <v>46</v>
      </c>
      <c r="C23" s="1">
        <v>17.889304978037998</v>
      </c>
      <c r="D23" s="1">
        <v>78.137789019033704</v>
      </c>
      <c r="F23" t="str">
        <v>Nellore</v>
      </c>
    </row>
    <row r="24" spans="1:6" x14ac:dyDescent="0.2">
      <c r="A24" t="s">
        <v>11</v>
      </c>
      <c r="B24" t="s">
        <v>49</v>
      </c>
      <c r="C24" s="1">
        <v>17.1132505154639</v>
      </c>
      <c r="D24" s="1">
        <v>79.169844536082394</v>
      </c>
      <c r="F24" t="str">
        <v>Nizamabad</v>
      </c>
    </row>
    <row r="25" spans="1:6" x14ac:dyDescent="0.2">
      <c r="A25" t="s">
        <v>11</v>
      </c>
      <c r="B25" t="s">
        <v>52</v>
      </c>
      <c r="C25" s="1">
        <v>13.8943440714218</v>
      </c>
      <c r="D25" s="1">
        <v>80.147026718124906</v>
      </c>
      <c r="F25" t="str">
        <v>Prakasam</v>
      </c>
    </row>
    <row r="26" spans="1:6" x14ac:dyDescent="0.2">
      <c r="A26" t="s">
        <v>11</v>
      </c>
      <c r="B26" t="s">
        <v>55</v>
      </c>
      <c r="C26" s="1">
        <v>18.429485849056601</v>
      </c>
      <c r="D26" s="1">
        <v>78.075234905660295</v>
      </c>
      <c r="F26" t="str">
        <v>Rangareddi</v>
      </c>
    </row>
    <row r="27" spans="1:6" x14ac:dyDescent="0.2">
      <c r="A27" t="s">
        <v>11</v>
      </c>
      <c r="B27" t="s">
        <v>58</v>
      </c>
      <c r="C27" s="1">
        <v>15.4890390016017</v>
      </c>
      <c r="D27" s="1">
        <v>80.116657901761798</v>
      </c>
      <c r="F27" t="str">
        <v>Srikakulam</v>
      </c>
    </row>
    <row r="28" spans="1:6" x14ac:dyDescent="0.2">
      <c r="A28" t="s">
        <v>11</v>
      </c>
      <c r="B28" t="s">
        <v>61</v>
      </c>
      <c r="C28" s="1">
        <v>17.245235872576099</v>
      </c>
      <c r="D28" s="1">
        <v>78.057568282548402</v>
      </c>
      <c r="F28" t="str">
        <v>Vishakhapatnam</v>
      </c>
    </row>
    <row r="29" spans="1:6" x14ac:dyDescent="0.2">
      <c r="A29" t="s">
        <v>11</v>
      </c>
      <c r="B29" t="s">
        <v>64</v>
      </c>
      <c r="C29" s="1">
        <v>18.5709009986974</v>
      </c>
      <c r="D29" s="1">
        <v>84.258748140106704</v>
      </c>
      <c r="F29" t="str">
        <v>Vizianagaram</v>
      </c>
    </row>
    <row r="30" spans="1:6" x14ac:dyDescent="0.2">
      <c r="A30" t="s">
        <v>11</v>
      </c>
      <c r="B30" t="s">
        <v>67</v>
      </c>
      <c r="C30" s="18">
        <v>17.646839033989298</v>
      </c>
      <c r="D30" s="1">
        <v>83.010140357781694</v>
      </c>
      <c r="F30" t="str">
        <v>Warangal</v>
      </c>
    </row>
    <row r="31" spans="1:6" x14ac:dyDescent="0.2">
      <c r="A31" t="s">
        <v>11</v>
      </c>
      <c r="B31" t="s">
        <v>69</v>
      </c>
      <c r="C31" s="1">
        <v>18.2832969603297</v>
      </c>
      <c r="D31" s="1">
        <v>83.459828541988699</v>
      </c>
      <c r="F31" t="str">
        <v>West Godavari</v>
      </c>
    </row>
    <row r="32" spans="1:6" x14ac:dyDescent="0.2">
      <c r="A32" t="s">
        <v>11</v>
      </c>
      <c r="B32" t="s">
        <v>72</v>
      </c>
      <c r="C32" s="1">
        <v>18.017526086956501</v>
      </c>
      <c r="D32" s="1">
        <v>79.874220289855003</v>
      </c>
      <c r="F32" t="str">
        <v>Bastar</v>
      </c>
    </row>
    <row r="33" spans="1:6" x14ac:dyDescent="0.2">
      <c r="A33" t="s">
        <v>11</v>
      </c>
      <c r="B33" t="s">
        <v>75</v>
      </c>
      <c r="C33" s="1">
        <v>16.632979439252299</v>
      </c>
      <c r="D33" s="1">
        <v>81.459129906541904</v>
      </c>
      <c r="F33" t="str">
        <v>Dantewada</v>
      </c>
    </row>
    <row r="34" spans="1:6" x14ac:dyDescent="0.2">
      <c r="A34" t="s">
        <v>78</v>
      </c>
      <c r="B34" t="s">
        <v>79</v>
      </c>
      <c r="C34" s="1">
        <v>27.360484793388402</v>
      </c>
      <c r="D34" s="1">
        <v>96.375526446281</v>
      </c>
      <c r="F34" t="str">
        <v>North Goa</v>
      </c>
    </row>
    <row r="35" spans="1:6" x14ac:dyDescent="0.2">
      <c r="A35" t="s">
        <v>78</v>
      </c>
      <c r="B35" t="s">
        <v>82</v>
      </c>
      <c r="C35" s="1">
        <v>27.371194055943999</v>
      </c>
      <c r="D35" s="1">
        <v>93.047414860139895</v>
      </c>
      <c r="F35" t="str">
        <v>South Goa</v>
      </c>
    </row>
    <row r="36" spans="1:6" x14ac:dyDescent="0.2">
      <c r="A36" t="s">
        <v>78</v>
      </c>
      <c r="B36" t="s">
        <v>85</v>
      </c>
      <c r="C36" s="1">
        <v>28.153823529411699</v>
      </c>
      <c r="D36" s="1">
        <v>95.064992260061899</v>
      </c>
      <c r="F36" t="str">
        <v>Bagalkot</v>
      </c>
    </row>
    <row r="37" spans="1:6" x14ac:dyDescent="0.2">
      <c r="A37" t="s">
        <v>78</v>
      </c>
      <c r="B37" t="s">
        <v>88</v>
      </c>
      <c r="C37" s="1">
        <v>28.048533518005499</v>
      </c>
      <c r="D37" s="1">
        <v>93.245319944598293</v>
      </c>
      <c r="F37" t="str">
        <v>Belgaum</v>
      </c>
    </row>
    <row r="38" spans="1:6" x14ac:dyDescent="0.2">
      <c r="A38" t="s">
        <v>78</v>
      </c>
      <c r="B38" t="s">
        <v>91</v>
      </c>
      <c r="C38" s="1">
        <v>27.946785273972601</v>
      </c>
      <c r="D38" s="1">
        <v>96.596707705479403</v>
      </c>
      <c r="F38" t="str">
        <v>Bellary</v>
      </c>
    </row>
    <row r="39" spans="1:6" x14ac:dyDescent="0.2">
      <c r="A39" t="s">
        <v>78</v>
      </c>
      <c r="B39" t="s">
        <v>94</v>
      </c>
      <c r="C39" s="1">
        <v>28.326517301037999</v>
      </c>
      <c r="D39" s="1">
        <v>95.765673356401393</v>
      </c>
      <c r="F39" t="str">
        <v>Bidar</v>
      </c>
    </row>
    <row r="40" spans="1:6" x14ac:dyDescent="0.2">
      <c r="A40" t="s">
        <v>78</v>
      </c>
      <c r="B40" t="s">
        <v>97</v>
      </c>
      <c r="C40" s="1">
        <v>27.708492972972898</v>
      </c>
      <c r="D40" s="1">
        <v>93.962261081081095</v>
      </c>
      <c r="F40" t="str">
        <v>Bijapur</v>
      </c>
    </row>
    <row r="41" spans="1:6" x14ac:dyDescent="0.2">
      <c r="A41" t="s">
        <v>78</v>
      </c>
      <c r="B41" t="s">
        <v>100</v>
      </c>
      <c r="C41" s="1">
        <v>27.273529716981098</v>
      </c>
      <c r="D41" s="1">
        <v>93.544681839622598</v>
      </c>
      <c r="F41" t="str">
        <v>Chikmagalur</v>
      </c>
    </row>
    <row r="42" spans="1:6" x14ac:dyDescent="0.2">
      <c r="A42" t="s">
        <v>78</v>
      </c>
      <c r="B42" t="s">
        <v>103</v>
      </c>
      <c r="C42" s="1">
        <v>27.680683962264101</v>
      </c>
      <c r="D42" s="1">
        <v>91.825042452830104</v>
      </c>
      <c r="F42" t="str">
        <v>Chitradurga</v>
      </c>
    </row>
    <row r="43" spans="1:6" x14ac:dyDescent="0.2">
      <c r="A43" t="s">
        <v>78</v>
      </c>
      <c r="B43" t="s">
        <v>106</v>
      </c>
      <c r="C43" s="1">
        <v>26.944062295081899</v>
      </c>
      <c r="D43" s="1">
        <v>95.414703278688606</v>
      </c>
      <c r="F43" t="str">
        <v>Davanagere</v>
      </c>
    </row>
    <row r="44" spans="1:6" x14ac:dyDescent="0.2">
      <c r="A44" t="s">
        <v>78</v>
      </c>
      <c r="B44" t="s">
        <v>109</v>
      </c>
      <c r="C44" s="1">
        <v>29.0199478365384</v>
      </c>
      <c r="D44" s="1">
        <v>95.987763942307595</v>
      </c>
      <c r="F44" t="str">
        <v>Dharwad</v>
      </c>
    </row>
    <row r="45" spans="1:6" x14ac:dyDescent="0.2">
      <c r="A45" t="s">
        <v>78</v>
      </c>
      <c r="B45" t="s">
        <v>112</v>
      </c>
      <c r="C45" s="18">
        <v>28.830924489795901</v>
      </c>
      <c r="D45" s="1">
        <v>95.001557653061198</v>
      </c>
      <c r="F45" t="str">
        <v>Gadag</v>
      </c>
    </row>
    <row r="46" spans="1:6" x14ac:dyDescent="0.2">
      <c r="A46" t="s">
        <v>78</v>
      </c>
      <c r="B46" t="s">
        <v>114</v>
      </c>
      <c r="C46" s="1">
        <v>28.2771965665235</v>
      </c>
      <c r="D46" s="1">
        <v>93.899143562231799</v>
      </c>
      <c r="F46" t="str">
        <v>Gulbarga</v>
      </c>
    </row>
    <row r="47" spans="1:6" x14ac:dyDescent="0.2">
      <c r="A47" t="s">
        <v>78</v>
      </c>
      <c r="B47" t="s">
        <v>117</v>
      </c>
      <c r="C47" s="1">
        <v>27.464865822784802</v>
      </c>
      <c r="D47" s="1">
        <v>92.650157504520806</v>
      </c>
      <c r="F47" t="str">
        <v>Haveri</v>
      </c>
    </row>
    <row r="48" spans="1:6" x14ac:dyDescent="0.2">
      <c r="A48" t="s">
        <v>78</v>
      </c>
      <c r="B48" t="s">
        <v>120</v>
      </c>
      <c r="C48" s="1">
        <v>28.1062969202898</v>
      </c>
      <c r="D48" s="1">
        <v>94.535103442028998</v>
      </c>
      <c r="F48" t="str">
        <v>Kolar</v>
      </c>
    </row>
    <row r="49" spans="1:6" x14ac:dyDescent="0.2">
      <c r="A49" t="s">
        <v>123</v>
      </c>
      <c r="B49" t="s">
        <v>124</v>
      </c>
      <c r="C49" s="1">
        <v>26.427872264630999</v>
      </c>
      <c r="D49" s="1">
        <v>90.979120101781106</v>
      </c>
      <c r="F49" t="str">
        <v>Koppal</v>
      </c>
    </row>
    <row r="50" spans="1:6" x14ac:dyDescent="0.2">
      <c r="A50" t="s">
        <v>123</v>
      </c>
      <c r="B50" t="s">
        <v>127</v>
      </c>
      <c r="C50" s="1">
        <v>26.450125219941299</v>
      </c>
      <c r="D50" s="18">
        <v>90.673429618768395</v>
      </c>
      <c r="F50" t="str">
        <v>Raichur</v>
      </c>
    </row>
    <row r="51" spans="1:6" x14ac:dyDescent="0.2">
      <c r="A51" t="s">
        <v>123</v>
      </c>
      <c r="B51" t="s">
        <v>129</v>
      </c>
      <c r="C51" s="1">
        <v>24.815570668692999</v>
      </c>
      <c r="D51" s="1">
        <v>92.868496504559204</v>
      </c>
      <c r="F51" t="str">
        <v>Shimoga</v>
      </c>
    </row>
    <row r="52" spans="1:6" x14ac:dyDescent="0.2">
      <c r="A52" t="s">
        <v>123</v>
      </c>
      <c r="B52" t="s">
        <v>132</v>
      </c>
      <c r="C52" s="1">
        <v>26.584632159624402</v>
      </c>
      <c r="D52" s="1">
        <v>92.041413380281497</v>
      </c>
      <c r="F52" t="str">
        <v>Tumkur</v>
      </c>
    </row>
    <row r="53" spans="1:6" x14ac:dyDescent="0.2">
      <c r="A53" t="s">
        <v>123</v>
      </c>
      <c r="B53" t="s">
        <v>135</v>
      </c>
      <c r="C53" s="1">
        <v>27.586533438485802</v>
      </c>
      <c r="D53" s="1">
        <v>94.713369085173497</v>
      </c>
      <c r="F53" t="str">
        <v>Udupi</v>
      </c>
    </row>
    <row r="54" spans="1:6" x14ac:dyDescent="0.2">
      <c r="A54" t="s">
        <v>123</v>
      </c>
      <c r="B54" t="s">
        <v>138</v>
      </c>
      <c r="C54" s="1">
        <v>26.045061484453299</v>
      </c>
      <c r="D54" s="1">
        <v>89.985008224673905</v>
      </c>
      <c r="F54" t="str">
        <v>Uttar Kannand</v>
      </c>
    </row>
    <row r="55" spans="1:6" x14ac:dyDescent="0.2">
      <c r="A55" t="s">
        <v>123</v>
      </c>
      <c r="B55" t="s">
        <v>141</v>
      </c>
      <c r="C55" s="1">
        <v>27.306122844827499</v>
      </c>
      <c r="D55" s="18">
        <v>95.099828232758696</v>
      </c>
      <c r="F55" t="str">
        <v>Ahmednagar</v>
      </c>
    </row>
    <row r="56" spans="1:6" x14ac:dyDescent="0.2">
      <c r="A56" t="s">
        <v>123</v>
      </c>
      <c r="B56" t="s">
        <v>143</v>
      </c>
      <c r="C56" s="1">
        <v>26.017277777777799</v>
      </c>
      <c r="D56" s="1">
        <v>90.598698915989104</v>
      </c>
      <c r="F56" t="str">
        <v>Bid</v>
      </c>
    </row>
    <row r="57" spans="1:6" x14ac:dyDescent="0.2">
      <c r="A57" t="s">
        <v>123</v>
      </c>
      <c r="B57" t="s">
        <v>146</v>
      </c>
      <c r="C57" s="1">
        <v>26.377219709794399</v>
      </c>
      <c r="D57" s="1">
        <v>93.825833978234598</v>
      </c>
      <c r="F57" t="str">
        <v>Garhchiroli</v>
      </c>
    </row>
    <row r="58" spans="1:6" x14ac:dyDescent="0.2">
      <c r="A58" t="s">
        <v>123</v>
      </c>
      <c r="B58" t="s">
        <v>149</v>
      </c>
      <c r="C58" s="1">
        <v>24.457496089385401</v>
      </c>
      <c r="D58" s="1">
        <v>92.591546648044698</v>
      </c>
      <c r="F58" t="str">
        <v>Greater Bombay</v>
      </c>
    </row>
    <row r="59" spans="1:6" x14ac:dyDescent="0.2">
      <c r="A59" t="s">
        <v>123</v>
      </c>
      <c r="B59" t="s">
        <v>152</v>
      </c>
      <c r="C59" s="1">
        <v>26.7624482401656</v>
      </c>
      <c r="D59" s="1">
        <v>94.3019772256728</v>
      </c>
      <c r="F59" t="str">
        <v>Hingoli</v>
      </c>
    </row>
    <row r="60" spans="1:6" x14ac:dyDescent="0.2">
      <c r="A60" t="s">
        <v>123</v>
      </c>
      <c r="B60" t="s">
        <v>155</v>
      </c>
      <c r="C60" s="1">
        <v>26.1709394520548</v>
      </c>
      <c r="D60" s="1">
        <v>91.588632739725895</v>
      </c>
      <c r="F60" t="str">
        <v>Jalna</v>
      </c>
    </row>
    <row r="61" spans="1:6" x14ac:dyDescent="0.2">
      <c r="A61" t="s">
        <v>123</v>
      </c>
      <c r="B61" t="s">
        <v>158</v>
      </c>
      <c r="C61" s="1">
        <v>26.089664545980298</v>
      </c>
      <c r="D61" s="1">
        <v>93.115365702718293</v>
      </c>
      <c r="F61" t="str">
        <v>Kolhapur</v>
      </c>
    </row>
    <row r="62" spans="1:6" x14ac:dyDescent="0.2">
      <c r="A62" t="s">
        <v>123</v>
      </c>
      <c r="B62" t="s">
        <v>161</v>
      </c>
      <c r="C62" s="1">
        <v>24.6966071225071</v>
      </c>
      <c r="D62" s="1">
        <v>92.367949857549704</v>
      </c>
      <c r="F62" t="str">
        <v>Latur</v>
      </c>
    </row>
    <row r="63" spans="1:6" x14ac:dyDescent="0.2">
      <c r="A63" t="s">
        <v>123</v>
      </c>
      <c r="B63" t="s">
        <v>164</v>
      </c>
      <c r="C63" s="1">
        <v>26.4972466357308</v>
      </c>
      <c r="D63" s="1">
        <v>90.139974709976798</v>
      </c>
      <c r="F63" t="str">
        <v>Nanded</v>
      </c>
    </row>
    <row r="64" spans="1:6" x14ac:dyDescent="0.2">
      <c r="A64" t="s">
        <v>123</v>
      </c>
      <c r="B64" t="s">
        <v>167</v>
      </c>
      <c r="C64" s="1">
        <v>27.141288059701399</v>
      </c>
      <c r="D64" s="18">
        <v>94.077594925373205</v>
      </c>
      <c r="F64" t="str">
        <v>Osmanabad</v>
      </c>
    </row>
    <row r="65" spans="1:6" x14ac:dyDescent="0.2">
      <c r="A65" t="s">
        <v>123</v>
      </c>
      <c r="B65" t="s">
        <v>169</v>
      </c>
      <c r="C65" s="1">
        <v>26.2465004672897</v>
      </c>
      <c r="D65" s="1">
        <v>92.219499532710202</v>
      </c>
      <c r="F65" t="str">
        <v>Parbhani</v>
      </c>
    </row>
    <row r="66" spans="1:6" x14ac:dyDescent="0.2">
      <c r="A66" t="s">
        <v>123</v>
      </c>
      <c r="B66" t="s">
        <v>172</v>
      </c>
      <c r="C66" s="1">
        <v>26.264621706263501</v>
      </c>
      <c r="D66" s="18">
        <v>92.930619114470801</v>
      </c>
      <c r="F66" t="str">
        <v>Pune</v>
      </c>
    </row>
    <row r="67" spans="1:6" x14ac:dyDescent="0.2">
      <c r="A67" t="s">
        <v>123</v>
      </c>
      <c r="B67" t="s">
        <v>174</v>
      </c>
      <c r="C67" s="1">
        <v>26.463237676056298</v>
      </c>
      <c r="D67" s="1">
        <v>91.405985211267605</v>
      </c>
      <c r="F67" t="str">
        <v>Raigarh</v>
      </c>
    </row>
    <row r="68" spans="1:6" x14ac:dyDescent="0.2">
      <c r="A68" t="s">
        <v>123</v>
      </c>
      <c r="B68" t="s">
        <v>177</v>
      </c>
      <c r="C68" s="1">
        <v>25.3382998531571</v>
      </c>
      <c r="D68" s="1">
        <v>92.977402055800297</v>
      </c>
      <c r="F68" t="str">
        <v>Ratnagiri</v>
      </c>
    </row>
    <row r="69" spans="1:6" x14ac:dyDescent="0.2">
      <c r="A69" t="s">
        <v>123</v>
      </c>
      <c r="B69" t="s">
        <v>180</v>
      </c>
      <c r="C69" s="1">
        <v>27.027628695652101</v>
      </c>
      <c r="D69" s="1">
        <v>94.900258478260795</v>
      </c>
      <c r="F69" t="str">
        <v>Sangli</v>
      </c>
    </row>
    <row r="70" spans="1:6" x14ac:dyDescent="0.2">
      <c r="A70" t="s">
        <v>123</v>
      </c>
      <c r="B70" t="s">
        <v>183</v>
      </c>
      <c r="C70" s="1">
        <v>26.735149268292599</v>
      </c>
      <c r="D70" s="1">
        <v>92.851978048780396</v>
      </c>
      <c r="F70" t="str">
        <v>Satara</v>
      </c>
    </row>
    <row r="71" spans="1:6" x14ac:dyDescent="0.2">
      <c r="A71" t="s">
        <v>123</v>
      </c>
      <c r="B71" t="s">
        <v>186</v>
      </c>
      <c r="C71" s="1">
        <v>27.535492911392399</v>
      </c>
      <c r="D71" s="1">
        <v>95.690559493670804</v>
      </c>
      <c r="F71" t="str">
        <v>Sindhudurg</v>
      </c>
    </row>
    <row r="72" spans="1:6" x14ac:dyDescent="0.2">
      <c r="A72" t="s">
        <v>189</v>
      </c>
      <c r="B72" t="s">
        <v>190</v>
      </c>
      <c r="C72" s="1">
        <v>26.211528119180599</v>
      </c>
      <c r="D72" s="1">
        <v>87.307665549348101</v>
      </c>
      <c r="F72" t="str">
        <v>Solapur</v>
      </c>
    </row>
    <row r="73" spans="1:6" x14ac:dyDescent="0.2">
      <c r="A73" t="s">
        <v>189</v>
      </c>
      <c r="B73" t="s">
        <v>193</v>
      </c>
      <c r="C73" s="1">
        <v>24.774291867469799</v>
      </c>
      <c r="D73" s="1">
        <v>84.459860240963707</v>
      </c>
      <c r="F73" t="str">
        <v>Thane</v>
      </c>
    </row>
    <row r="74" spans="1:6" x14ac:dyDescent="0.2">
      <c r="A74" t="s">
        <v>189</v>
      </c>
      <c r="B74" t="s">
        <v>196</v>
      </c>
      <c r="C74" s="1">
        <v>24.832355642023298</v>
      </c>
      <c r="D74" s="18">
        <v>86.866491634241299</v>
      </c>
      <c r="F74" t="str">
        <v>Gajapati</v>
      </c>
    </row>
    <row r="75" spans="1:6" x14ac:dyDescent="0.2">
      <c r="A75" t="s">
        <v>189</v>
      </c>
      <c r="B75" t="s">
        <v>198</v>
      </c>
      <c r="C75" s="1">
        <v>25.543026131687199</v>
      </c>
      <c r="D75" s="1">
        <v>86.125601440329305</v>
      </c>
      <c r="F75" t="str">
        <v>Ganjam</v>
      </c>
    </row>
    <row r="76" spans="1:6" x14ac:dyDescent="0.2">
      <c r="A76" t="s">
        <v>189</v>
      </c>
      <c r="B76" t="s">
        <v>201</v>
      </c>
      <c r="C76" s="1">
        <v>25.021566425992699</v>
      </c>
      <c r="D76" s="1">
        <v>83.611281046931296</v>
      </c>
      <c r="F76" t="str">
        <v>Kalahandi</v>
      </c>
    </row>
    <row r="77" spans="1:6" x14ac:dyDescent="0.2">
      <c r="A77" t="s">
        <v>189</v>
      </c>
      <c r="B77" t="s">
        <v>204</v>
      </c>
      <c r="C77" s="1">
        <v>25.277192885375399</v>
      </c>
      <c r="D77" s="1">
        <v>87.042138142292401</v>
      </c>
      <c r="F77" t="str">
        <v>Koraput</v>
      </c>
    </row>
    <row r="78" spans="1:6" x14ac:dyDescent="0.2">
      <c r="A78" t="s">
        <v>189</v>
      </c>
      <c r="B78" t="s">
        <v>207</v>
      </c>
      <c r="C78" s="1">
        <v>25.5066643939393</v>
      </c>
      <c r="D78" s="1">
        <v>84.494078030303001</v>
      </c>
      <c r="F78" t="str">
        <v>Malkangiri</v>
      </c>
    </row>
    <row r="79" spans="1:6" x14ac:dyDescent="0.2">
      <c r="A79" t="s">
        <v>189</v>
      </c>
      <c r="B79" t="s">
        <v>210</v>
      </c>
      <c r="C79" s="1">
        <v>25.485930188679198</v>
      </c>
      <c r="D79" s="1">
        <v>84.088080817609907</v>
      </c>
      <c r="F79" t="str">
        <v>Nabarangpur</v>
      </c>
    </row>
    <row r="80" spans="1:6" x14ac:dyDescent="0.2">
      <c r="A80" t="s">
        <v>189</v>
      </c>
      <c r="B80" t="s">
        <v>213</v>
      </c>
      <c r="C80" s="1">
        <v>26.146187719298201</v>
      </c>
      <c r="D80" s="1">
        <v>85.973873524720901</v>
      </c>
      <c r="F80" t="str">
        <v>Puri</v>
      </c>
    </row>
    <row r="81" spans="1:6" x14ac:dyDescent="0.2">
      <c r="A81" t="s">
        <v>189</v>
      </c>
      <c r="B81" t="s">
        <v>216</v>
      </c>
      <c r="C81" s="18">
        <v>24.7266541547278</v>
      </c>
      <c r="D81" s="1">
        <v>84.942912177650399</v>
      </c>
      <c r="F81" t="str">
        <v>Rayagada</v>
      </c>
    </row>
    <row r="82" spans="1:6" x14ac:dyDescent="0.2">
      <c r="A82" t="s">
        <v>189</v>
      </c>
      <c r="B82" t="s">
        <v>218</v>
      </c>
      <c r="C82" s="1">
        <v>26.448743641618499</v>
      </c>
      <c r="D82" s="1">
        <v>84.346361271676201</v>
      </c>
      <c r="F82" t="str">
        <v>Yanam</v>
      </c>
    </row>
    <row r="83" spans="1:6" x14ac:dyDescent="0.2">
      <c r="A83" t="s">
        <v>189</v>
      </c>
      <c r="B83" t="s">
        <v>221</v>
      </c>
      <c r="C83" s="1">
        <v>24.784183804627201</v>
      </c>
      <c r="D83" s="1">
        <v>86.263162982005099</v>
      </c>
      <c r="F83" t="str">
        <v>Chennai</v>
      </c>
    </row>
    <row r="84" spans="1:6" x14ac:dyDescent="0.2">
      <c r="A84" t="s">
        <v>189</v>
      </c>
      <c r="B84" t="s">
        <v>224</v>
      </c>
      <c r="C84" s="1">
        <v>25.155679045643101</v>
      </c>
      <c r="D84" s="18">
        <v>84.920812448132807</v>
      </c>
      <c r="F84" t="str">
        <v>Thiruvallur</v>
      </c>
    </row>
    <row r="85" spans="1:6" x14ac:dyDescent="0.2">
      <c r="A85" t="s">
        <v>189</v>
      </c>
      <c r="B85" t="s">
        <v>226</v>
      </c>
      <c r="C85" s="1">
        <v>25.565653560371501</v>
      </c>
      <c r="D85" s="1">
        <v>87.704660835913202</v>
      </c>
    </row>
    <row r="86" spans="1:6" x14ac:dyDescent="0.2">
      <c r="A86" t="s">
        <v>189</v>
      </c>
      <c r="B86" t="s">
        <v>229</v>
      </c>
      <c r="C86" s="1">
        <v>25.535588914549599</v>
      </c>
      <c r="D86" s="1">
        <v>86.565932563510302</v>
      </c>
    </row>
    <row r="87" spans="1:6" x14ac:dyDescent="0.2">
      <c r="A87" t="s">
        <v>189</v>
      </c>
      <c r="B87" t="s">
        <v>232</v>
      </c>
      <c r="C87" s="1">
        <v>26.324336758321198</v>
      </c>
      <c r="D87" s="1">
        <v>87.950450072358805</v>
      </c>
    </row>
    <row r="88" spans="1:6" x14ac:dyDescent="0.2">
      <c r="A88" t="s">
        <v>189</v>
      </c>
      <c r="B88" t="s">
        <v>235</v>
      </c>
      <c r="C88" s="1">
        <v>25.183449321266899</v>
      </c>
      <c r="D88" s="1">
        <v>86.128257013574597</v>
      </c>
    </row>
    <row r="89" spans="1:6" x14ac:dyDescent="0.2">
      <c r="A89" t="s">
        <v>189</v>
      </c>
      <c r="B89" t="s">
        <v>238</v>
      </c>
      <c r="C89" s="1">
        <v>25.773419294605802</v>
      </c>
      <c r="D89" s="18">
        <v>86.897844398340297</v>
      </c>
    </row>
    <row r="90" spans="1:6" x14ac:dyDescent="0.2">
      <c r="A90" t="s">
        <v>189</v>
      </c>
      <c r="B90" t="s">
        <v>240</v>
      </c>
      <c r="C90" s="1">
        <v>26.413805381727101</v>
      </c>
      <c r="D90" s="1">
        <v>86.163283604505494</v>
      </c>
    </row>
    <row r="91" spans="1:6" x14ac:dyDescent="0.2">
      <c r="A91" t="s">
        <v>189</v>
      </c>
      <c r="B91" t="s">
        <v>243</v>
      </c>
      <c r="C91" s="1">
        <v>25.198537962962899</v>
      </c>
      <c r="D91" s="1">
        <v>86.541736728394994</v>
      </c>
    </row>
    <row r="92" spans="1:6" x14ac:dyDescent="0.2">
      <c r="A92" t="s">
        <v>189</v>
      </c>
      <c r="B92" t="s">
        <v>246</v>
      </c>
      <c r="C92" s="1">
        <v>26.186644171779101</v>
      </c>
      <c r="D92" s="1">
        <v>85.327450920245397</v>
      </c>
    </row>
    <row r="93" spans="1:6" x14ac:dyDescent="0.2">
      <c r="A93" t="s">
        <v>189</v>
      </c>
      <c r="B93" t="s">
        <v>249</v>
      </c>
      <c r="C93" s="1">
        <v>25.229345508982</v>
      </c>
      <c r="D93" s="1">
        <v>85.480531137724597</v>
      </c>
    </row>
    <row r="94" spans="1:6" x14ac:dyDescent="0.2">
      <c r="A94" t="s">
        <v>189</v>
      </c>
      <c r="B94" t="s">
        <v>252</v>
      </c>
      <c r="C94" s="1">
        <v>24.8257088362069</v>
      </c>
      <c r="D94" s="1">
        <v>85.615945689655106</v>
      </c>
    </row>
    <row r="95" spans="1:6" x14ac:dyDescent="0.2">
      <c r="A95" t="s">
        <v>189</v>
      </c>
      <c r="B95" t="s">
        <v>255</v>
      </c>
      <c r="C95" s="1">
        <v>27.160643522012499</v>
      </c>
      <c r="D95" s="1">
        <v>84.302659119496795</v>
      </c>
    </row>
    <row r="96" spans="1:6" x14ac:dyDescent="0.2">
      <c r="A96" t="s">
        <v>189</v>
      </c>
      <c r="B96" t="s">
        <v>258</v>
      </c>
      <c r="C96" s="1">
        <v>25.402971145038101</v>
      </c>
      <c r="D96" s="18">
        <v>85.319843358778698</v>
      </c>
    </row>
    <row r="97" spans="1:4" x14ac:dyDescent="0.2">
      <c r="A97" t="s">
        <v>189</v>
      </c>
      <c r="B97" t="s">
        <v>260</v>
      </c>
      <c r="C97" s="1">
        <v>26.6812933673469</v>
      </c>
      <c r="D97" s="1">
        <v>85.003821556122404</v>
      </c>
    </row>
    <row r="98" spans="1:4" x14ac:dyDescent="0.2">
      <c r="A98" t="s">
        <v>189</v>
      </c>
      <c r="B98" t="s">
        <v>263</v>
      </c>
      <c r="C98" s="1">
        <v>25.817148019017299</v>
      </c>
      <c r="D98" s="1">
        <v>87.404476069730606</v>
      </c>
    </row>
    <row r="99" spans="1:4" x14ac:dyDescent="0.2">
      <c r="A99" t="s">
        <v>189</v>
      </c>
      <c r="B99" t="s">
        <v>266</v>
      </c>
      <c r="C99" s="1">
        <v>24.991704608294899</v>
      </c>
      <c r="D99" s="18">
        <v>83.935076267281104</v>
      </c>
    </row>
    <row r="100" spans="1:4" x14ac:dyDescent="0.2">
      <c r="A100" t="s">
        <v>189</v>
      </c>
      <c r="B100" t="s">
        <v>268</v>
      </c>
      <c r="C100" s="1">
        <v>25.821270696721299</v>
      </c>
      <c r="D100" s="1">
        <v>86.546708196721298</v>
      </c>
    </row>
    <row r="101" spans="1:4" x14ac:dyDescent="0.2">
      <c r="A101" t="s">
        <v>189</v>
      </c>
      <c r="B101" t="s">
        <v>271</v>
      </c>
      <c r="C101" s="1">
        <v>25.793205563909702</v>
      </c>
      <c r="D101" s="1">
        <v>85.948333233082593</v>
      </c>
    </row>
    <row r="102" spans="1:4" x14ac:dyDescent="0.2">
      <c r="A102" t="s">
        <v>189</v>
      </c>
      <c r="B102" t="s">
        <v>274</v>
      </c>
      <c r="C102" s="1">
        <v>25.896560778443099</v>
      </c>
      <c r="D102" s="1">
        <v>84.822662874251506</v>
      </c>
    </row>
    <row r="103" spans="1:4" x14ac:dyDescent="0.2">
      <c r="A103" t="s">
        <v>189</v>
      </c>
      <c r="B103" t="s">
        <v>277</v>
      </c>
      <c r="C103" s="1">
        <v>25.124724365482201</v>
      </c>
      <c r="D103" s="1">
        <v>85.778393908629397</v>
      </c>
    </row>
    <row r="104" spans="1:4" x14ac:dyDescent="0.2">
      <c r="A104" t="s">
        <v>189</v>
      </c>
      <c r="B104" t="s">
        <v>280</v>
      </c>
      <c r="C104" s="1">
        <v>26.4583807486631</v>
      </c>
      <c r="D104" s="1">
        <v>85.295394117647007</v>
      </c>
    </row>
    <row r="105" spans="1:4" x14ac:dyDescent="0.2">
      <c r="A105" t="s">
        <v>189</v>
      </c>
      <c r="B105" t="s">
        <v>283</v>
      </c>
      <c r="C105" s="1">
        <v>26.565700696864099</v>
      </c>
      <c r="D105" s="1">
        <v>85.611724912892001</v>
      </c>
    </row>
    <row r="106" spans="1:4" x14ac:dyDescent="0.2">
      <c r="A106" t="s">
        <v>189</v>
      </c>
      <c r="B106" t="s">
        <v>286</v>
      </c>
      <c r="C106" s="18">
        <v>26.173637201365199</v>
      </c>
      <c r="D106" s="1">
        <v>84.337665529010195</v>
      </c>
    </row>
    <row r="107" spans="1:4" x14ac:dyDescent="0.2">
      <c r="A107" t="s">
        <v>189</v>
      </c>
      <c r="B107" t="s">
        <v>288</v>
      </c>
      <c r="C107" s="1">
        <v>26.281578937728899</v>
      </c>
      <c r="D107" s="1">
        <v>86.784964652014594</v>
      </c>
    </row>
    <row r="108" spans="1:4" x14ac:dyDescent="0.2">
      <c r="A108" t="s">
        <v>189</v>
      </c>
      <c r="B108" t="s">
        <v>291</v>
      </c>
      <c r="C108" s="18">
        <v>25.813470318021199</v>
      </c>
      <c r="D108" s="1">
        <v>85.3924759717315</v>
      </c>
    </row>
    <row r="109" spans="1:4" x14ac:dyDescent="0.2">
      <c r="A109" t="s">
        <v>293</v>
      </c>
      <c r="B109" t="s">
        <v>293</v>
      </c>
      <c r="C109" s="18">
        <v>30.742599999999999</v>
      </c>
      <c r="D109" s="1">
        <v>76.758724657534202</v>
      </c>
    </row>
    <row r="110" spans="1:4" x14ac:dyDescent="0.2">
      <c r="A110" t="s">
        <v>295</v>
      </c>
      <c r="B110" t="s">
        <v>296</v>
      </c>
      <c r="C110" s="1">
        <v>19.393866751269002</v>
      </c>
      <c r="D110" s="1">
        <v>81.528951269035403</v>
      </c>
    </row>
    <row r="111" spans="1:4" x14ac:dyDescent="0.2">
      <c r="A111" t="s">
        <v>295</v>
      </c>
      <c r="B111" t="s">
        <v>299</v>
      </c>
      <c r="C111" s="1">
        <v>22.356942982456101</v>
      </c>
      <c r="D111" s="1">
        <v>81.997703508771806</v>
      </c>
    </row>
    <row r="112" spans="1:4" x14ac:dyDescent="0.2">
      <c r="A112" t="s">
        <v>295</v>
      </c>
      <c r="B112" t="s">
        <v>302</v>
      </c>
      <c r="C112" s="1">
        <v>18.653854086538399</v>
      </c>
      <c r="D112" s="1">
        <v>81.072001201923101</v>
      </c>
    </row>
    <row r="113" spans="1:4" x14ac:dyDescent="0.2">
      <c r="A113" t="s">
        <v>295</v>
      </c>
      <c r="B113" t="s">
        <v>305</v>
      </c>
      <c r="C113" s="1">
        <v>20.554912627291198</v>
      </c>
      <c r="D113" s="18">
        <v>81.7569195519348</v>
      </c>
    </row>
    <row r="114" spans="1:4" x14ac:dyDescent="0.2">
      <c r="A114" t="s">
        <v>295</v>
      </c>
      <c r="B114" t="s">
        <v>307</v>
      </c>
      <c r="C114" s="1">
        <v>21.1944638492871</v>
      </c>
      <c r="D114" s="1">
        <v>81.3318163951119</v>
      </c>
    </row>
    <row r="115" spans="1:4" x14ac:dyDescent="0.2">
      <c r="A115" t="s">
        <v>295</v>
      </c>
      <c r="B115" t="s">
        <v>310</v>
      </c>
      <c r="C115" s="1">
        <v>21.96109375</v>
      </c>
      <c r="D115" s="1">
        <v>82.804954086538402</v>
      </c>
    </row>
    <row r="116" spans="1:4" x14ac:dyDescent="0.2">
      <c r="A116" t="s">
        <v>295</v>
      </c>
      <c r="B116" t="s">
        <v>313</v>
      </c>
      <c r="C116" s="1">
        <v>22.772861676646599</v>
      </c>
      <c r="D116" s="18">
        <v>83.870396207584804</v>
      </c>
    </row>
    <row r="117" spans="1:4" x14ac:dyDescent="0.2">
      <c r="A117" t="s">
        <v>295</v>
      </c>
      <c r="B117" t="s">
        <v>315</v>
      </c>
      <c r="C117" s="1">
        <v>20.139461285008199</v>
      </c>
      <c r="D117" s="1">
        <v>81.069130807248698</v>
      </c>
    </row>
    <row r="118" spans="1:4" x14ac:dyDescent="0.2">
      <c r="A118" t="s">
        <v>295</v>
      </c>
      <c r="B118" t="s">
        <v>318</v>
      </c>
      <c r="C118" s="1">
        <v>22.0480007920792</v>
      </c>
      <c r="D118" s="1">
        <v>81.162711881188102</v>
      </c>
    </row>
    <row r="119" spans="1:4" x14ac:dyDescent="0.2">
      <c r="A119" t="s">
        <v>295</v>
      </c>
      <c r="B119" t="s">
        <v>321</v>
      </c>
      <c r="C119" s="1">
        <v>22.491712499999899</v>
      </c>
      <c r="D119" s="1">
        <v>82.576043269230695</v>
      </c>
    </row>
    <row r="120" spans="1:4" x14ac:dyDescent="0.2">
      <c r="A120" t="s">
        <v>295</v>
      </c>
      <c r="B120" t="s">
        <v>324</v>
      </c>
      <c r="C120" s="1">
        <v>23.504127768595001</v>
      </c>
      <c r="D120" s="1">
        <v>82.125156363636293</v>
      </c>
    </row>
    <row r="121" spans="1:4" x14ac:dyDescent="0.2">
      <c r="A121" t="s">
        <v>295</v>
      </c>
      <c r="B121" t="s">
        <v>327</v>
      </c>
      <c r="C121" s="1">
        <v>21.223727037773301</v>
      </c>
      <c r="D121" s="1">
        <v>82.659254274353799</v>
      </c>
    </row>
    <row r="122" spans="1:4" x14ac:dyDescent="0.2">
      <c r="A122" t="s">
        <v>295</v>
      </c>
      <c r="B122" t="s">
        <v>330</v>
      </c>
      <c r="C122" s="1">
        <v>22.008265068493099</v>
      </c>
      <c r="D122" s="1">
        <v>83.277976986301297</v>
      </c>
    </row>
    <row r="123" spans="1:4" x14ac:dyDescent="0.2">
      <c r="A123" t="s">
        <v>295</v>
      </c>
      <c r="B123" t="s">
        <v>333</v>
      </c>
      <c r="C123" s="1">
        <v>20.886031538461499</v>
      </c>
      <c r="D123" s="1">
        <v>82.200327596153798</v>
      </c>
    </row>
    <row r="124" spans="1:4" x14ac:dyDescent="0.2">
      <c r="A124" t="s">
        <v>295</v>
      </c>
      <c r="B124" t="s">
        <v>336</v>
      </c>
      <c r="C124" s="1">
        <v>21.058414734950599</v>
      </c>
      <c r="D124" s="1">
        <v>80.785266936208302</v>
      </c>
    </row>
    <row r="125" spans="1:4" x14ac:dyDescent="0.2">
      <c r="A125" t="s">
        <v>295</v>
      </c>
      <c r="B125" t="s">
        <v>339</v>
      </c>
      <c r="C125" s="1">
        <v>23.327192787285998</v>
      </c>
      <c r="D125" s="1">
        <v>83.235824938875297</v>
      </c>
    </row>
    <row r="126" spans="1:4" x14ac:dyDescent="0.2">
      <c r="A126" t="s">
        <v>342</v>
      </c>
      <c r="B126" t="s">
        <v>342</v>
      </c>
      <c r="C126" s="1">
        <v>20.215132170542599</v>
      </c>
      <c r="D126" s="1">
        <v>73.0945496124031</v>
      </c>
    </row>
    <row r="127" spans="1:4" x14ac:dyDescent="0.2">
      <c r="A127" t="s">
        <v>345</v>
      </c>
      <c r="B127" t="s">
        <v>346</v>
      </c>
      <c r="C127" s="1">
        <v>20.431616666666599</v>
      </c>
      <c r="D127" s="18">
        <v>72.839236607142894</v>
      </c>
    </row>
    <row r="128" spans="1:4" x14ac:dyDescent="0.2">
      <c r="A128" t="s">
        <v>345</v>
      </c>
      <c r="B128" t="s">
        <v>348</v>
      </c>
      <c r="C128" s="1">
        <v>20.725681994981102</v>
      </c>
      <c r="D128" s="1">
        <v>70.839856398996105</v>
      </c>
    </row>
    <row r="129" spans="1:4" x14ac:dyDescent="0.2">
      <c r="A129" t="s">
        <v>351</v>
      </c>
      <c r="B129" t="s">
        <v>351</v>
      </c>
      <c r="C129" s="1">
        <v>28.645944298245599</v>
      </c>
      <c r="D129" s="1">
        <v>77.128045175438501</v>
      </c>
    </row>
    <row r="130" spans="1:4" x14ac:dyDescent="0.2">
      <c r="A130" t="s">
        <v>354</v>
      </c>
      <c r="B130" t="s">
        <v>355</v>
      </c>
      <c r="C130" s="1">
        <v>15.548723418713999</v>
      </c>
      <c r="D130" s="1">
        <v>73.806679979090305</v>
      </c>
    </row>
    <row r="131" spans="1:4" x14ac:dyDescent="0.2">
      <c r="A131" t="s">
        <v>354</v>
      </c>
      <c r="B131" t="s">
        <v>358</v>
      </c>
      <c r="C131" s="1">
        <v>15.1952786581837</v>
      </c>
      <c r="D131" s="18">
        <v>73.941792596876994</v>
      </c>
    </row>
    <row r="132" spans="1:4" x14ac:dyDescent="0.2">
      <c r="A132" t="s">
        <v>360</v>
      </c>
      <c r="B132" t="s">
        <v>361</v>
      </c>
      <c r="C132" s="1">
        <v>22.6054255649717</v>
      </c>
      <c r="D132" s="1">
        <v>72.238981355932196</v>
      </c>
    </row>
    <row r="133" spans="1:4" x14ac:dyDescent="0.2">
      <c r="A133" t="s">
        <v>360</v>
      </c>
      <c r="B133" t="s">
        <v>364</v>
      </c>
      <c r="C133" s="1">
        <v>21.0483264931087</v>
      </c>
      <c r="D133" s="1">
        <v>71.434576378254206</v>
      </c>
    </row>
    <row r="134" spans="1:4" x14ac:dyDescent="0.2">
      <c r="A134" t="s">
        <v>360</v>
      </c>
      <c r="B134" t="s">
        <v>367</v>
      </c>
      <c r="C134" s="1">
        <v>22.282718206229799</v>
      </c>
      <c r="D134" s="1">
        <v>72.577820515574501</v>
      </c>
    </row>
    <row r="135" spans="1:4" x14ac:dyDescent="0.2">
      <c r="A135" t="s">
        <v>360</v>
      </c>
      <c r="B135" t="s">
        <v>370</v>
      </c>
      <c r="C135" s="1">
        <v>24.2585389655172</v>
      </c>
      <c r="D135" s="1">
        <v>71.932052528735596</v>
      </c>
    </row>
    <row r="136" spans="1:4" x14ac:dyDescent="0.2">
      <c r="A136" t="s">
        <v>360</v>
      </c>
      <c r="B136" t="s">
        <v>373</v>
      </c>
      <c r="C136" s="1">
        <v>21.757872762377598</v>
      </c>
      <c r="D136" s="1">
        <v>72.673263467108001</v>
      </c>
    </row>
    <row r="137" spans="1:4" x14ac:dyDescent="0.2">
      <c r="A137" t="s">
        <v>360</v>
      </c>
      <c r="B137" t="s">
        <v>376</v>
      </c>
      <c r="C137" s="1">
        <v>21.702193903417299</v>
      </c>
      <c r="D137" s="1">
        <v>72.162726327611395</v>
      </c>
    </row>
    <row r="138" spans="1:4" x14ac:dyDescent="0.2">
      <c r="A138" t="s">
        <v>360</v>
      </c>
      <c r="B138" t="s">
        <v>379</v>
      </c>
      <c r="C138" s="1">
        <v>22.897992252252202</v>
      </c>
      <c r="D138" s="1">
        <v>73.991706126126005</v>
      </c>
    </row>
    <row r="139" spans="1:4" x14ac:dyDescent="0.2">
      <c r="A139" t="s">
        <v>360</v>
      </c>
      <c r="B139" t="s">
        <v>382</v>
      </c>
      <c r="C139" s="1">
        <v>23.193679790026199</v>
      </c>
      <c r="D139" s="1">
        <v>72.672216797900205</v>
      </c>
    </row>
    <row r="140" spans="1:4" x14ac:dyDescent="0.2">
      <c r="A140" t="s">
        <v>360</v>
      </c>
      <c r="B140" t="s">
        <v>385</v>
      </c>
      <c r="C140" s="1">
        <v>22.4106004142633</v>
      </c>
      <c r="D140" s="1">
        <v>69.620620057682302</v>
      </c>
    </row>
    <row r="141" spans="1:4" x14ac:dyDescent="0.2">
      <c r="A141" t="s">
        <v>360</v>
      </c>
      <c r="B141" t="s">
        <v>348</v>
      </c>
      <c r="C141" s="1">
        <v>20.9295230116097</v>
      </c>
      <c r="D141" s="1">
        <v>70.547338901403407</v>
      </c>
    </row>
    <row r="142" spans="1:4" x14ac:dyDescent="0.2">
      <c r="A142" t="s">
        <v>360</v>
      </c>
      <c r="B142" t="s">
        <v>390</v>
      </c>
      <c r="C142" s="1">
        <v>23.4805720330131</v>
      </c>
      <c r="D142" s="1">
        <v>68.821923014979106</v>
      </c>
    </row>
    <row r="143" spans="1:4" x14ac:dyDescent="0.2">
      <c r="A143" t="s">
        <v>360</v>
      </c>
      <c r="B143" t="s">
        <v>393</v>
      </c>
      <c r="C143" s="1">
        <v>22.887653125</v>
      </c>
      <c r="D143" s="18">
        <v>73.018803515624995</v>
      </c>
    </row>
    <row r="144" spans="1:4" x14ac:dyDescent="0.2">
      <c r="A144" t="s">
        <v>360</v>
      </c>
      <c r="B144" t="s">
        <v>395</v>
      </c>
      <c r="C144" s="1">
        <v>23.529355452865001</v>
      </c>
      <c r="D144" s="1">
        <v>72.455451940850296</v>
      </c>
    </row>
    <row r="145" spans="1:4" x14ac:dyDescent="0.2">
      <c r="A145" t="s">
        <v>360</v>
      </c>
      <c r="B145" t="s">
        <v>398</v>
      </c>
      <c r="C145" s="1">
        <v>21.706663862928298</v>
      </c>
      <c r="D145" s="1">
        <v>73.684032087227394</v>
      </c>
    </row>
    <row r="146" spans="1:4" x14ac:dyDescent="0.2">
      <c r="A146" t="s">
        <v>360</v>
      </c>
      <c r="B146" t="s">
        <v>401</v>
      </c>
      <c r="C146" s="1">
        <v>20.866973318871899</v>
      </c>
      <c r="D146" s="1">
        <v>72.861848698481495</v>
      </c>
    </row>
    <row r="147" spans="1:4" x14ac:dyDescent="0.2">
      <c r="A147" t="s">
        <v>360</v>
      </c>
      <c r="B147" t="s">
        <v>404</v>
      </c>
      <c r="C147" s="1">
        <v>22.804356068375998</v>
      </c>
      <c r="D147" s="1">
        <v>73.619845982905801</v>
      </c>
    </row>
    <row r="148" spans="1:4" x14ac:dyDescent="0.2">
      <c r="A148" t="s">
        <v>360</v>
      </c>
      <c r="B148" t="s">
        <v>407</v>
      </c>
      <c r="C148" s="1">
        <v>23.8063419847328</v>
      </c>
      <c r="D148" s="1">
        <v>71.751629770992295</v>
      </c>
    </row>
    <row r="149" spans="1:4" x14ac:dyDescent="0.2">
      <c r="A149" t="s">
        <v>360</v>
      </c>
      <c r="B149" t="s">
        <v>410</v>
      </c>
      <c r="C149" s="1">
        <v>21.550923516515699</v>
      </c>
      <c r="D149" s="1">
        <v>69.718969877228801</v>
      </c>
    </row>
    <row r="150" spans="1:4" x14ac:dyDescent="0.2">
      <c r="A150" t="s">
        <v>360</v>
      </c>
      <c r="B150" t="s">
        <v>413</v>
      </c>
      <c r="C150" s="1">
        <v>22.4060337771548</v>
      </c>
      <c r="D150" s="1">
        <v>70.836794393833202</v>
      </c>
    </row>
    <row r="151" spans="1:4" x14ac:dyDescent="0.2">
      <c r="A151" t="s">
        <v>360</v>
      </c>
      <c r="B151" t="s">
        <v>416</v>
      </c>
      <c r="C151" s="1">
        <v>23.7180359454855</v>
      </c>
      <c r="D151" s="1">
        <v>73.136387904599601</v>
      </c>
    </row>
    <row r="152" spans="1:4" x14ac:dyDescent="0.2">
      <c r="A152" t="s">
        <v>360</v>
      </c>
      <c r="B152" t="s">
        <v>419</v>
      </c>
      <c r="C152" s="1">
        <v>21.257613727720901</v>
      </c>
      <c r="D152" s="1">
        <v>72.934887163443307</v>
      </c>
    </row>
    <row r="153" spans="1:4" x14ac:dyDescent="0.2">
      <c r="A153" t="s">
        <v>360</v>
      </c>
      <c r="B153" t="s">
        <v>422</v>
      </c>
      <c r="C153" s="1">
        <v>22.8267200729927</v>
      </c>
      <c r="D153" s="1">
        <v>71.483587408759007</v>
      </c>
    </row>
    <row r="154" spans="1:4" x14ac:dyDescent="0.2">
      <c r="A154" t="s">
        <v>360</v>
      </c>
      <c r="B154" t="s">
        <v>425</v>
      </c>
      <c r="C154" s="1">
        <v>20.801633877551001</v>
      </c>
      <c r="D154" s="18">
        <v>73.688351836734697</v>
      </c>
    </row>
    <row r="155" spans="1:4" x14ac:dyDescent="0.2">
      <c r="A155" t="s">
        <v>360</v>
      </c>
      <c r="B155" t="s">
        <v>427</v>
      </c>
      <c r="C155" s="1">
        <v>22.261337392795799</v>
      </c>
      <c r="D155" s="1">
        <v>73.494330102915896</v>
      </c>
    </row>
    <row r="156" spans="1:4" x14ac:dyDescent="0.2">
      <c r="A156" t="s">
        <v>360</v>
      </c>
      <c r="B156" t="s">
        <v>430</v>
      </c>
      <c r="C156" s="1">
        <v>20.442382316442501</v>
      </c>
      <c r="D156" s="18">
        <v>72.914858479834507</v>
      </c>
    </row>
    <row r="157" spans="1:4" x14ac:dyDescent="0.2">
      <c r="A157" t="s">
        <v>432</v>
      </c>
      <c r="B157" t="s">
        <v>433</v>
      </c>
      <c r="C157" s="1">
        <v>30.350367231638302</v>
      </c>
      <c r="D157" s="1">
        <v>76.949703107344504</v>
      </c>
    </row>
    <row r="158" spans="1:4" x14ac:dyDescent="0.2">
      <c r="A158" t="s">
        <v>432</v>
      </c>
      <c r="B158" t="s">
        <v>436</v>
      </c>
      <c r="C158" s="1">
        <v>28.728868064516099</v>
      </c>
      <c r="D158" s="1">
        <v>76.021102258064502</v>
      </c>
    </row>
    <row r="159" spans="1:4" x14ac:dyDescent="0.2">
      <c r="A159" t="s">
        <v>432</v>
      </c>
      <c r="B159" t="s">
        <v>439</v>
      </c>
      <c r="C159" s="1">
        <v>28.148731097560901</v>
      </c>
      <c r="D159" s="1">
        <v>77.327185365853595</v>
      </c>
    </row>
    <row r="160" spans="1:4" x14ac:dyDescent="0.2">
      <c r="A160" t="s">
        <v>432</v>
      </c>
      <c r="B160" t="s">
        <v>442</v>
      </c>
      <c r="C160" s="1">
        <v>29.572983185840702</v>
      </c>
      <c r="D160" s="1">
        <v>75.546087168141497</v>
      </c>
    </row>
    <row r="161" spans="1:4" x14ac:dyDescent="0.2">
      <c r="A161" t="s">
        <v>432</v>
      </c>
      <c r="B161" t="s">
        <v>445</v>
      </c>
      <c r="C161" s="1">
        <v>28.043894789579099</v>
      </c>
      <c r="D161" s="1">
        <v>77.019351302605202</v>
      </c>
    </row>
    <row r="162" spans="1:4" x14ac:dyDescent="0.2">
      <c r="A162" t="s">
        <v>432</v>
      </c>
      <c r="B162" t="s">
        <v>448</v>
      </c>
      <c r="C162" s="1">
        <v>29.236287311178199</v>
      </c>
      <c r="D162" s="1">
        <v>75.843246827794502</v>
      </c>
    </row>
    <row r="163" spans="1:4" x14ac:dyDescent="0.2">
      <c r="A163" t="s">
        <v>432</v>
      </c>
      <c r="B163" t="s">
        <v>451</v>
      </c>
      <c r="C163" s="1">
        <v>28.596518681318599</v>
      </c>
      <c r="D163" s="1">
        <v>76.611371428571402</v>
      </c>
    </row>
    <row r="164" spans="1:4" x14ac:dyDescent="0.2">
      <c r="A164" t="s">
        <v>432</v>
      </c>
      <c r="B164" t="s">
        <v>454</v>
      </c>
      <c r="C164" s="1">
        <v>29.451498219584501</v>
      </c>
      <c r="D164" s="1">
        <v>76.295985756676501</v>
      </c>
    </row>
    <row r="165" spans="1:4" x14ac:dyDescent="0.2">
      <c r="A165" t="s">
        <v>432</v>
      </c>
      <c r="B165" t="s">
        <v>457</v>
      </c>
      <c r="C165" s="1">
        <v>29.960685390946399</v>
      </c>
      <c r="D165" s="1">
        <v>76.376989300411495</v>
      </c>
    </row>
    <row r="166" spans="1:4" x14ac:dyDescent="0.2">
      <c r="A166" t="s">
        <v>432</v>
      </c>
      <c r="B166" t="s">
        <v>460</v>
      </c>
      <c r="C166" s="1">
        <v>29.703200647249201</v>
      </c>
      <c r="D166" s="1">
        <v>76.874880258899694</v>
      </c>
    </row>
    <row r="167" spans="1:4" x14ac:dyDescent="0.2">
      <c r="A167" t="s">
        <v>432</v>
      </c>
      <c r="B167" t="s">
        <v>463</v>
      </c>
      <c r="C167" s="1">
        <v>30.0565265984654</v>
      </c>
      <c r="D167" s="1">
        <v>76.787746803068998</v>
      </c>
    </row>
    <row r="168" spans="1:4" x14ac:dyDescent="0.2">
      <c r="A168" t="s">
        <v>432</v>
      </c>
      <c r="B168" t="s">
        <v>466</v>
      </c>
      <c r="C168" s="18">
        <v>28.135216145833301</v>
      </c>
      <c r="D168" s="1">
        <v>76.140180729166502</v>
      </c>
    </row>
    <row r="169" spans="1:4" x14ac:dyDescent="0.2">
      <c r="A169" t="s">
        <v>432</v>
      </c>
      <c r="B169" t="s">
        <v>468</v>
      </c>
      <c r="C169" s="1">
        <v>30.700897142857102</v>
      </c>
      <c r="D169" s="1">
        <v>76.971732380952304</v>
      </c>
    </row>
    <row r="170" spans="1:4" x14ac:dyDescent="0.2">
      <c r="A170" t="s">
        <v>432</v>
      </c>
      <c r="B170" t="s">
        <v>471</v>
      </c>
      <c r="C170" s="1">
        <v>29.343521341463401</v>
      </c>
      <c r="D170" s="1">
        <v>76.928959146341398</v>
      </c>
    </row>
    <row r="171" spans="1:4" x14ac:dyDescent="0.2">
      <c r="A171" t="s">
        <v>432</v>
      </c>
      <c r="B171" t="s">
        <v>474</v>
      </c>
      <c r="C171" s="1">
        <v>28.191647148288901</v>
      </c>
      <c r="D171" s="1">
        <v>76.559560076045599</v>
      </c>
    </row>
    <row r="172" spans="1:4" x14ac:dyDescent="0.2">
      <c r="A172" t="s">
        <v>432</v>
      </c>
      <c r="B172" t="s">
        <v>477</v>
      </c>
      <c r="C172" s="1">
        <v>28.892517647058799</v>
      </c>
      <c r="D172" s="1">
        <v>76.531232352941103</v>
      </c>
    </row>
    <row r="173" spans="1:4" x14ac:dyDescent="0.2">
      <c r="A173" t="s">
        <v>432</v>
      </c>
      <c r="B173" t="s">
        <v>480</v>
      </c>
      <c r="C173" s="1">
        <v>29.635834463276801</v>
      </c>
      <c r="D173" s="1">
        <v>74.909704802259796</v>
      </c>
    </row>
    <row r="174" spans="1:4" x14ac:dyDescent="0.2">
      <c r="A174" t="s">
        <v>432</v>
      </c>
      <c r="B174" t="s">
        <v>483</v>
      </c>
      <c r="C174" s="1">
        <v>29.058057079646002</v>
      </c>
      <c r="D174" s="1">
        <v>76.855870796460096</v>
      </c>
    </row>
    <row r="175" spans="1:4" x14ac:dyDescent="0.2">
      <c r="A175" t="s">
        <v>432</v>
      </c>
      <c r="B175" t="s">
        <v>486</v>
      </c>
      <c r="C175" s="1">
        <v>30.264661825726101</v>
      </c>
      <c r="D175" s="1">
        <v>77.316528215767605</v>
      </c>
    </row>
    <row r="176" spans="1:4" x14ac:dyDescent="0.2">
      <c r="A176" t="s">
        <v>489</v>
      </c>
      <c r="B176" t="s">
        <v>299</v>
      </c>
      <c r="C176" s="18">
        <v>31.378042290748901</v>
      </c>
      <c r="D176" s="1">
        <v>76.653160792951496</v>
      </c>
    </row>
    <row r="177" spans="1:4" x14ac:dyDescent="0.2">
      <c r="A177" t="s">
        <v>489</v>
      </c>
      <c r="B177" t="s">
        <v>491</v>
      </c>
      <c r="C177" s="1">
        <v>32.667418145956603</v>
      </c>
      <c r="D177" s="1">
        <v>76.393540631163603</v>
      </c>
    </row>
    <row r="178" spans="1:4" x14ac:dyDescent="0.2">
      <c r="A178" t="s">
        <v>489</v>
      </c>
      <c r="B178" t="s">
        <v>494</v>
      </c>
      <c r="C178" s="1">
        <v>31.676684810126499</v>
      </c>
      <c r="D178" s="1">
        <v>76.497670886075895</v>
      </c>
    </row>
    <row r="179" spans="1:4" x14ac:dyDescent="0.2">
      <c r="A179" t="s">
        <v>489</v>
      </c>
      <c r="B179" t="s">
        <v>497</v>
      </c>
      <c r="C179" s="1">
        <v>32.140936032388602</v>
      </c>
      <c r="D179" s="1">
        <v>76.412059109311699</v>
      </c>
    </row>
    <row r="180" spans="1:4" x14ac:dyDescent="0.2">
      <c r="A180" t="s">
        <v>489</v>
      </c>
      <c r="B180" t="s">
        <v>500</v>
      </c>
      <c r="C180" s="1">
        <v>31.606671840659299</v>
      </c>
      <c r="D180" s="1">
        <v>78.516137362637394</v>
      </c>
    </row>
    <row r="181" spans="1:4" x14ac:dyDescent="0.2">
      <c r="A181" t="s">
        <v>489</v>
      </c>
      <c r="B181" t="s">
        <v>503</v>
      </c>
      <c r="C181" s="1">
        <v>31.9091192207792</v>
      </c>
      <c r="D181" s="1">
        <v>77.409226493506395</v>
      </c>
    </row>
    <row r="182" spans="1:4" x14ac:dyDescent="0.2">
      <c r="A182" t="s">
        <v>489</v>
      </c>
      <c r="B182" t="s">
        <v>506</v>
      </c>
      <c r="C182" s="1">
        <v>32.5171703065133</v>
      </c>
      <c r="D182" s="1">
        <v>77.624709770114904</v>
      </c>
    </row>
    <row r="183" spans="1:4" x14ac:dyDescent="0.2">
      <c r="A183" t="s">
        <v>489</v>
      </c>
      <c r="B183" t="s">
        <v>509</v>
      </c>
      <c r="C183" s="1">
        <v>31.635805940594</v>
      </c>
      <c r="D183" s="1">
        <v>76.965569306930604</v>
      </c>
    </row>
    <row r="184" spans="1:4" x14ac:dyDescent="0.2">
      <c r="A184" t="s">
        <v>489</v>
      </c>
      <c r="B184" t="s">
        <v>512</v>
      </c>
      <c r="C184" s="1">
        <v>31.1557254518072</v>
      </c>
      <c r="D184" s="1">
        <v>77.625730421686598</v>
      </c>
    </row>
    <row r="185" spans="1:4" x14ac:dyDescent="0.2">
      <c r="A185" t="s">
        <v>489</v>
      </c>
      <c r="B185" t="s">
        <v>515</v>
      </c>
      <c r="C185" s="1">
        <v>30.682764453961401</v>
      </c>
      <c r="D185" s="1">
        <v>77.431846895074898</v>
      </c>
    </row>
    <row r="186" spans="1:4" x14ac:dyDescent="0.2">
      <c r="A186" t="s">
        <v>489</v>
      </c>
      <c r="B186" t="s">
        <v>518</v>
      </c>
      <c r="C186" s="1">
        <v>31.038643119265998</v>
      </c>
      <c r="D186" s="1">
        <v>76.944421406727798</v>
      </c>
    </row>
    <row r="187" spans="1:4" x14ac:dyDescent="0.2">
      <c r="A187" t="s">
        <v>489</v>
      </c>
      <c r="B187" t="s">
        <v>521</v>
      </c>
      <c r="C187" s="1">
        <v>31.583303883495098</v>
      </c>
      <c r="D187" s="1">
        <v>76.183539320388306</v>
      </c>
    </row>
    <row r="188" spans="1:4" x14ac:dyDescent="0.2">
      <c r="A188" t="s">
        <v>524</v>
      </c>
      <c r="B188" t="s">
        <v>525</v>
      </c>
      <c r="C188" s="1">
        <v>33.760272727272699</v>
      </c>
      <c r="D188" s="1">
        <v>75.303906060605996</v>
      </c>
    </row>
    <row r="189" spans="1:4" x14ac:dyDescent="0.2">
      <c r="A189" t="s">
        <v>524</v>
      </c>
      <c r="B189" t="s">
        <v>528</v>
      </c>
      <c r="C189" s="1">
        <v>33.932581132075399</v>
      </c>
      <c r="D189" s="1">
        <v>74.797981132075407</v>
      </c>
    </row>
    <row r="190" spans="1:4" x14ac:dyDescent="0.2">
      <c r="A190" t="s">
        <v>524</v>
      </c>
      <c r="B190" t="s">
        <v>531</v>
      </c>
      <c r="C190" s="1">
        <v>34.381253757225402</v>
      </c>
      <c r="D190" s="1">
        <v>74.763599421965296</v>
      </c>
    </row>
    <row r="191" spans="1:4" x14ac:dyDescent="0.2">
      <c r="A191" t="s">
        <v>524</v>
      </c>
      <c r="B191" t="s">
        <v>534</v>
      </c>
      <c r="C191" s="1">
        <v>33.359614675767901</v>
      </c>
      <c r="D191" s="1">
        <v>76.071637201365107</v>
      </c>
    </row>
    <row r="192" spans="1:4" x14ac:dyDescent="0.2">
      <c r="A192" t="s">
        <v>524</v>
      </c>
      <c r="B192" t="s">
        <v>537</v>
      </c>
      <c r="C192" s="1">
        <v>32.713199095022603</v>
      </c>
      <c r="D192" s="18">
        <v>74.847752036199097</v>
      </c>
    </row>
    <row r="193" spans="1:4" x14ac:dyDescent="0.2">
      <c r="A193" t="s">
        <v>524</v>
      </c>
      <c r="B193" t="s">
        <v>539</v>
      </c>
      <c r="C193" s="1">
        <v>33.565994894894899</v>
      </c>
      <c r="D193" s="1">
        <v>76.636753153153094</v>
      </c>
    </row>
    <row r="194" spans="1:4" x14ac:dyDescent="0.2">
      <c r="A194" t="s">
        <v>524</v>
      </c>
      <c r="B194" t="s">
        <v>542</v>
      </c>
      <c r="C194" s="1">
        <v>32.517816783216702</v>
      </c>
      <c r="D194" s="1">
        <v>75.589013986013995</v>
      </c>
    </row>
    <row r="195" spans="1:4" x14ac:dyDescent="0.2">
      <c r="A195" t="s">
        <v>524</v>
      </c>
      <c r="B195" t="s">
        <v>545</v>
      </c>
      <c r="C195" s="1">
        <v>34.599234736842099</v>
      </c>
      <c r="D195" s="1">
        <v>74.215876842105203</v>
      </c>
    </row>
    <row r="196" spans="1:4" x14ac:dyDescent="0.2">
      <c r="A196" t="s">
        <v>524</v>
      </c>
      <c r="B196" t="s">
        <v>548</v>
      </c>
      <c r="C196" s="1">
        <v>33.585792202970197</v>
      </c>
      <c r="D196" s="1">
        <v>78.307259282178194</v>
      </c>
    </row>
    <row r="197" spans="1:4" x14ac:dyDescent="0.2">
      <c r="A197" t="s">
        <v>524</v>
      </c>
      <c r="B197" t="s">
        <v>551</v>
      </c>
      <c r="C197" s="1">
        <v>33.884144186046498</v>
      </c>
      <c r="D197" s="1">
        <v>75.009218604651096</v>
      </c>
    </row>
    <row r="198" spans="1:4" x14ac:dyDescent="0.2">
      <c r="A198" t="s">
        <v>524</v>
      </c>
      <c r="B198" t="s">
        <v>554</v>
      </c>
      <c r="C198" s="1">
        <v>33.791241290322503</v>
      </c>
      <c r="D198" s="1">
        <v>74.295931612903203</v>
      </c>
    </row>
    <row r="199" spans="1:4" x14ac:dyDescent="0.2">
      <c r="A199" t="s">
        <v>524</v>
      </c>
      <c r="B199" t="s">
        <v>557</v>
      </c>
      <c r="C199" s="1">
        <v>33.272321985815601</v>
      </c>
      <c r="D199" s="1">
        <v>74.407768794326202</v>
      </c>
    </row>
    <row r="200" spans="1:4" x14ac:dyDescent="0.2">
      <c r="A200" t="s">
        <v>524</v>
      </c>
      <c r="B200" t="s">
        <v>560</v>
      </c>
      <c r="C200" s="1">
        <v>34.273128985507199</v>
      </c>
      <c r="D200" s="1">
        <v>75.110211594202795</v>
      </c>
    </row>
    <row r="201" spans="1:4" x14ac:dyDescent="0.2">
      <c r="A201" t="s">
        <v>524</v>
      </c>
      <c r="B201" t="s">
        <v>563</v>
      </c>
      <c r="C201" s="1">
        <v>33.047706707316998</v>
      </c>
      <c r="D201" s="1">
        <v>75.152869512195096</v>
      </c>
    </row>
    <row r="202" spans="1:4" x14ac:dyDescent="0.2">
      <c r="A202" t="s">
        <v>566</v>
      </c>
      <c r="B202" t="s">
        <v>567</v>
      </c>
      <c r="C202" s="18">
        <v>23.681496503496501</v>
      </c>
      <c r="D202" s="1">
        <v>85.983983741258598</v>
      </c>
    </row>
    <row r="203" spans="1:4" x14ac:dyDescent="0.2">
      <c r="A203" t="s">
        <v>566</v>
      </c>
      <c r="B203" t="s">
        <v>569</v>
      </c>
      <c r="C203" s="1">
        <v>24.1161994575045</v>
      </c>
      <c r="D203" s="1">
        <v>84.9329580470162</v>
      </c>
    </row>
    <row r="204" spans="1:4" x14ac:dyDescent="0.2">
      <c r="A204" t="s">
        <v>566</v>
      </c>
      <c r="B204" t="s">
        <v>572</v>
      </c>
      <c r="C204" s="1">
        <v>24.330701007556701</v>
      </c>
      <c r="D204" s="1">
        <v>86.756976322418097</v>
      </c>
    </row>
    <row r="205" spans="1:4" x14ac:dyDescent="0.2">
      <c r="A205" t="s">
        <v>566</v>
      </c>
      <c r="B205" t="s">
        <v>575</v>
      </c>
      <c r="C205" s="1">
        <v>23.854509090909001</v>
      </c>
      <c r="D205" s="1">
        <v>86.403729249011803</v>
      </c>
    </row>
    <row r="206" spans="1:4" x14ac:dyDescent="0.2">
      <c r="A206" t="s">
        <v>566</v>
      </c>
      <c r="B206" t="s">
        <v>578</v>
      </c>
      <c r="C206" s="1">
        <v>24.275006125574201</v>
      </c>
      <c r="D206" s="1">
        <v>87.276624502297096</v>
      </c>
    </row>
    <row r="207" spans="1:4" x14ac:dyDescent="0.2">
      <c r="A207" t="s">
        <v>566</v>
      </c>
      <c r="B207" t="s">
        <v>581</v>
      </c>
      <c r="C207" s="1">
        <v>24.082114689265499</v>
      </c>
      <c r="D207" s="1">
        <v>83.686642655367194</v>
      </c>
    </row>
    <row r="208" spans="1:4" x14ac:dyDescent="0.2">
      <c r="A208" t="s">
        <v>566</v>
      </c>
      <c r="B208" t="s">
        <v>584</v>
      </c>
      <c r="C208" s="1">
        <v>24.3057850987432</v>
      </c>
      <c r="D208" s="1">
        <v>86.087109156193804</v>
      </c>
    </row>
    <row r="209" spans="1:4" x14ac:dyDescent="0.2">
      <c r="A209" t="s">
        <v>566</v>
      </c>
      <c r="B209" t="s">
        <v>587</v>
      </c>
      <c r="C209" s="1">
        <v>24.8188999999999</v>
      </c>
      <c r="D209" s="18">
        <v>87.294173548387107</v>
      </c>
    </row>
    <row r="210" spans="1:4" x14ac:dyDescent="0.2">
      <c r="A210" t="s">
        <v>566</v>
      </c>
      <c r="B210" t="s">
        <v>589</v>
      </c>
      <c r="C210" s="1">
        <v>23.078532948929102</v>
      </c>
      <c r="D210" s="1">
        <v>84.550567874793899</v>
      </c>
    </row>
    <row r="211" spans="1:4" x14ac:dyDescent="0.2">
      <c r="A211" t="s">
        <v>566</v>
      </c>
      <c r="B211" t="s">
        <v>592</v>
      </c>
      <c r="C211" s="1">
        <v>23.943241973969599</v>
      </c>
      <c r="D211" s="1">
        <v>85.494413123644193</v>
      </c>
    </row>
    <row r="212" spans="1:4" x14ac:dyDescent="0.2">
      <c r="A212" t="s">
        <v>566</v>
      </c>
      <c r="B212" t="s">
        <v>595</v>
      </c>
      <c r="C212" s="1">
        <v>23.978733180778001</v>
      </c>
      <c r="D212" s="1">
        <v>86.953250800915299</v>
      </c>
    </row>
    <row r="213" spans="1:4" x14ac:dyDescent="0.2">
      <c r="A213" t="s">
        <v>566</v>
      </c>
      <c r="B213" t="s">
        <v>598</v>
      </c>
      <c r="C213" s="1">
        <v>24.556719434628899</v>
      </c>
      <c r="D213" s="18">
        <v>85.7169091872792</v>
      </c>
    </row>
    <row r="214" spans="1:4" x14ac:dyDescent="0.2">
      <c r="A214" t="s">
        <v>566</v>
      </c>
      <c r="B214" t="s">
        <v>600</v>
      </c>
      <c r="C214" s="1">
        <v>23.725111858407001</v>
      </c>
      <c r="D214" s="1">
        <v>84.482987433628296</v>
      </c>
    </row>
    <row r="215" spans="1:4" x14ac:dyDescent="0.2">
      <c r="A215" t="s">
        <v>566</v>
      </c>
      <c r="B215" t="s">
        <v>603</v>
      </c>
      <c r="C215" s="1">
        <v>23.488796043165401</v>
      </c>
      <c r="D215" s="18">
        <v>84.660516906474797</v>
      </c>
    </row>
    <row r="216" spans="1:4" x14ac:dyDescent="0.2">
      <c r="A216" t="s">
        <v>566</v>
      </c>
      <c r="B216" t="s">
        <v>605</v>
      </c>
      <c r="C216" s="1">
        <v>24.5726042808218</v>
      </c>
      <c r="D216" s="1">
        <v>87.696919691780707</v>
      </c>
    </row>
    <row r="217" spans="1:4" x14ac:dyDescent="0.2">
      <c r="A217" t="s">
        <v>566</v>
      </c>
      <c r="B217" t="s">
        <v>608</v>
      </c>
      <c r="C217" s="1">
        <v>24.196925968109301</v>
      </c>
      <c r="D217" s="1">
        <v>84.203108428245898</v>
      </c>
    </row>
    <row r="218" spans="1:4" x14ac:dyDescent="0.2">
      <c r="A218" t="s">
        <v>566</v>
      </c>
      <c r="B218" t="s">
        <v>611</v>
      </c>
      <c r="C218" s="1">
        <v>22.399408487654298</v>
      </c>
      <c r="D218" s="18">
        <v>85.540984104938204</v>
      </c>
    </row>
    <row r="219" spans="1:4" x14ac:dyDescent="0.2">
      <c r="A219" t="s">
        <v>566</v>
      </c>
      <c r="B219" t="s">
        <v>613</v>
      </c>
      <c r="C219" s="1">
        <v>22.591334362934301</v>
      </c>
      <c r="D219" s="1">
        <v>86.509101351351305</v>
      </c>
    </row>
    <row r="220" spans="1:4" x14ac:dyDescent="0.2">
      <c r="A220" t="s">
        <v>566</v>
      </c>
      <c r="B220" t="s">
        <v>616</v>
      </c>
      <c r="C220" s="1">
        <v>23.184235061391501</v>
      </c>
      <c r="D220" s="1">
        <v>85.317819372442003</v>
      </c>
    </row>
    <row r="221" spans="1:4" x14ac:dyDescent="0.2">
      <c r="A221" t="s">
        <v>566</v>
      </c>
      <c r="B221" t="s">
        <v>619</v>
      </c>
      <c r="C221" s="1">
        <v>24.936679896907201</v>
      </c>
      <c r="D221" s="1">
        <v>87.682640979381404</v>
      </c>
    </row>
    <row r="222" spans="1:4" x14ac:dyDescent="0.2">
      <c r="A222" t="s">
        <v>566</v>
      </c>
      <c r="B222" t="s">
        <v>622</v>
      </c>
      <c r="C222" s="1">
        <v>22.855913921113601</v>
      </c>
      <c r="D222" s="1">
        <v>85.896149187934995</v>
      </c>
    </row>
    <row r="223" spans="1:4" x14ac:dyDescent="0.2">
      <c r="A223" t="s">
        <v>566</v>
      </c>
      <c r="B223" t="s">
        <v>625</v>
      </c>
      <c r="C223" s="1">
        <v>22.608760391198</v>
      </c>
      <c r="D223" s="1">
        <v>84.591936919315302</v>
      </c>
    </row>
    <row r="224" spans="1:4" x14ac:dyDescent="0.2">
      <c r="A224" t="s">
        <v>628</v>
      </c>
      <c r="B224" t="s">
        <v>629</v>
      </c>
      <c r="C224" s="1">
        <v>16.158606763285</v>
      </c>
      <c r="D224" s="1">
        <v>75.645260708534593</v>
      </c>
    </row>
    <row r="225" spans="1:4" x14ac:dyDescent="0.2">
      <c r="A225" t="s">
        <v>628</v>
      </c>
      <c r="B225" t="s">
        <v>632</v>
      </c>
      <c r="C225" s="1">
        <v>12.9368270877944</v>
      </c>
      <c r="D225" s="1">
        <v>77.473693147751604</v>
      </c>
    </row>
    <row r="226" spans="1:4" x14ac:dyDescent="0.2">
      <c r="A226" t="s">
        <v>628</v>
      </c>
      <c r="B226" t="s">
        <v>635</v>
      </c>
      <c r="C226" s="1">
        <v>12.901924930747899</v>
      </c>
      <c r="D226" s="1">
        <v>77.586855955678601</v>
      </c>
    </row>
    <row r="227" spans="1:4" x14ac:dyDescent="0.2">
      <c r="A227" t="s">
        <v>628</v>
      </c>
      <c r="B227" t="s">
        <v>638</v>
      </c>
      <c r="C227" s="1">
        <v>16.1610721915285</v>
      </c>
      <c r="D227" s="1">
        <v>74.723290423572706</v>
      </c>
    </row>
    <row r="228" spans="1:4" x14ac:dyDescent="0.2">
      <c r="A228" t="s">
        <v>628</v>
      </c>
      <c r="B228" t="s">
        <v>641</v>
      </c>
      <c r="C228" s="1">
        <v>15.0743775482093</v>
      </c>
      <c r="D228" s="1">
        <v>76.472284710743693</v>
      </c>
    </row>
    <row r="229" spans="1:4" x14ac:dyDescent="0.2">
      <c r="A229" t="s">
        <v>628</v>
      </c>
      <c r="B229" t="s">
        <v>644</v>
      </c>
      <c r="C229" s="1">
        <v>17.950361730769199</v>
      </c>
      <c r="D229" s="1">
        <v>77.194599615384504</v>
      </c>
    </row>
    <row r="230" spans="1:4" x14ac:dyDescent="0.2">
      <c r="A230" t="s">
        <v>628</v>
      </c>
      <c r="B230" t="s">
        <v>647</v>
      </c>
      <c r="C230" s="1">
        <v>16.8401531666666</v>
      </c>
      <c r="D230" s="1">
        <v>75.959091666666595</v>
      </c>
    </row>
    <row r="231" spans="1:4" x14ac:dyDescent="0.2">
      <c r="A231" t="s">
        <v>628</v>
      </c>
      <c r="B231" t="s">
        <v>650</v>
      </c>
      <c r="C231" s="1">
        <v>11.9524799999999</v>
      </c>
      <c r="D231" s="1">
        <v>77.023849599999906</v>
      </c>
    </row>
    <row r="232" spans="1:4" x14ac:dyDescent="0.2">
      <c r="A232" t="s">
        <v>628</v>
      </c>
      <c r="B232" t="s">
        <v>653</v>
      </c>
      <c r="C232" s="1">
        <v>13.4252882896764</v>
      </c>
      <c r="D232" s="1">
        <v>75.676265023112407</v>
      </c>
    </row>
    <row r="233" spans="1:4" x14ac:dyDescent="0.2">
      <c r="A233" t="s">
        <v>628</v>
      </c>
      <c r="B233" t="s">
        <v>656</v>
      </c>
      <c r="C233" s="1">
        <v>14.2910222039473</v>
      </c>
      <c r="D233" s="1">
        <v>76.578219572368397</v>
      </c>
    </row>
    <row r="234" spans="1:4" x14ac:dyDescent="0.2">
      <c r="A234" t="s">
        <v>628</v>
      </c>
      <c r="B234" t="s">
        <v>659</v>
      </c>
      <c r="C234" s="1">
        <v>12.8912045481747</v>
      </c>
      <c r="D234" s="1">
        <v>74.962162776780204</v>
      </c>
    </row>
    <row r="235" spans="1:4" x14ac:dyDescent="0.2">
      <c r="A235" t="s">
        <v>628</v>
      </c>
      <c r="B235" t="s">
        <v>662</v>
      </c>
      <c r="C235" s="1">
        <v>14.3304145867098</v>
      </c>
      <c r="D235" s="1">
        <v>75.917238411669302</v>
      </c>
    </row>
    <row r="236" spans="1:4" x14ac:dyDescent="0.2">
      <c r="A236" t="s">
        <v>628</v>
      </c>
      <c r="B236" t="s">
        <v>665</v>
      </c>
      <c r="C236" s="1">
        <v>15.3438313769751</v>
      </c>
      <c r="D236" s="1">
        <v>75.138312641083502</v>
      </c>
    </row>
    <row r="237" spans="1:4" x14ac:dyDescent="0.2">
      <c r="A237" t="s">
        <v>628</v>
      </c>
      <c r="B237" t="s">
        <v>668</v>
      </c>
      <c r="C237" s="1">
        <v>15.5071282568807</v>
      </c>
      <c r="D237" s="1">
        <v>75.648613027522899</v>
      </c>
    </row>
    <row r="238" spans="1:4" x14ac:dyDescent="0.2">
      <c r="A238" t="s">
        <v>628</v>
      </c>
      <c r="B238" t="s">
        <v>671</v>
      </c>
      <c r="C238" s="1">
        <v>17.070459515951502</v>
      </c>
      <c r="D238" s="1">
        <v>76.875038503850305</v>
      </c>
    </row>
    <row r="239" spans="1:4" x14ac:dyDescent="0.2">
      <c r="A239" t="s">
        <v>628</v>
      </c>
      <c r="B239" t="s">
        <v>674</v>
      </c>
      <c r="C239" s="1">
        <v>12.9450987499999</v>
      </c>
      <c r="D239" s="1">
        <v>76.110495499999899</v>
      </c>
    </row>
    <row r="240" spans="1:4" x14ac:dyDescent="0.2">
      <c r="A240" t="s">
        <v>628</v>
      </c>
      <c r="B240" t="s">
        <v>677</v>
      </c>
      <c r="C240" s="1">
        <v>14.7375828092243</v>
      </c>
      <c r="D240" s="18">
        <v>75.396123060796597</v>
      </c>
    </row>
    <row r="241" spans="1:4" x14ac:dyDescent="0.2">
      <c r="A241" t="s">
        <v>628</v>
      </c>
      <c r="B241" t="s">
        <v>679</v>
      </c>
      <c r="C241" s="1">
        <v>12.396844680851</v>
      </c>
      <c r="D241" s="1">
        <v>75.793365957446795</v>
      </c>
    </row>
    <row r="242" spans="1:4" x14ac:dyDescent="0.2">
      <c r="A242" t="s">
        <v>628</v>
      </c>
      <c r="B242" t="s">
        <v>682</v>
      </c>
      <c r="C242" s="1">
        <v>13.312799881235099</v>
      </c>
      <c r="D242" s="1">
        <v>78.013769477434707</v>
      </c>
    </row>
    <row r="243" spans="1:4" x14ac:dyDescent="0.2">
      <c r="A243" t="s">
        <v>628</v>
      </c>
      <c r="B243" t="s">
        <v>685</v>
      </c>
      <c r="C243" s="1">
        <v>15.651253271028001</v>
      </c>
      <c r="D243" s="18">
        <v>76.161704859813099</v>
      </c>
    </row>
    <row r="244" spans="1:4" x14ac:dyDescent="0.2">
      <c r="A244" t="s">
        <v>628</v>
      </c>
      <c r="B244" t="s">
        <v>687</v>
      </c>
      <c r="C244" s="1">
        <v>12.5749018062397</v>
      </c>
      <c r="D244" s="1">
        <v>76.815700985221696</v>
      </c>
    </row>
    <row r="245" spans="1:4" x14ac:dyDescent="0.2">
      <c r="A245" t="s">
        <v>628</v>
      </c>
      <c r="B245" t="s">
        <v>690</v>
      </c>
      <c r="C245" s="1">
        <v>12.2481002594033</v>
      </c>
      <c r="D245" s="1">
        <v>76.528818028534303</v>
      </c>
    </row>
    <row r="246" spans="1:4" x14ac:dyDescent="0.2">
      <c r="A246" t="s">
        <v>628</v>
      </c>
      <c r="B246" t="s">
        <v>693</v>
      </c>
      <c r="C246" s="1">
        <v>16.050795353982199</v>
      </c>
      <c r="D246" s="1">
        <v>76.873686061946799</v>
      </c>
    </row>
    <row r="247" spans="1:4" x14ac:dyDescent="0.2">
      <c r="A247" t="s">
        <v>628</v>
      </c>
      <c r="B247" t="s">
        <v>696</v>
      </c>
      <c r="C247" s="1">
        <v>14.0638458856345</v>
      </c>
      <c r="D247" s="1">
        <v>75.178820781031902</v>
      </c>
    </row>
    <row r="248" spans="1:4" x14ac:dyDescent="0.2">
      <c r="A248" t="s">
        <v>628</v>
      </c>
      <c r="B248" t="s">
        <v>699</v>
      </c>
      <c r="C248" s="1">
        <v>13.5924677600749</v>
      </c>
      <c r="D248" s="1">
        <v>77.022979662605394</v>
      </c>
    </row>
    <row r="249" spans="1:4" x14ac:dyDescent="0.2">
      <c r="A249" t="s">
        <v>628</v>
      </c>
      <c r="B249" t="s">
        <v>702</v>
      </c>
      <c r="C249" s="1">
        <v>13.4504042285345</v>
      </c>
      <c r="D249" s="1">
        <v>74.720099903163302</v>
      </c>
    </row>
    <row r="250" spans="1:4" x14ac:dyDescent="0.2">
      <c r="A250" t="s">
        <v>628</v>
      </c>
      <c r="B250" t="s">
        <v>705</v>
      </c>
      <c r="C250" s="1">
        <v>14.5389579762442</v>
      </c>
      <c r="D250" s="1">
        <v>74.352290813411102</v>
      </c>
    </row>
    <row r="251" spans="1:4" x14ac:dyDescent="0.2">
      <c r="A251" t="s">
        <v>708</v>
      </c>
      <c r="B251" t="s">
        <v>709</v>
      </c>
      <c r="C251" s="1">
        <v>9.5426029655990803</v>
      </c>
      <c r="D251" s="1">
        <v>76.380107962633105</v>
      </c>
    </row>
    <row r="252" spans="1:4" x14ac:dyDescent="0.2">
      <c r="A252" t="s">
        <v>708</v>
      </c>
      <c r="B252" t="s">
        <v>712</v>
      </c>
      <c r="C252" s="1">
        <v>10.004879301987399</v>
      </c>
      <c r="D252" s="1">
        <v>76.269577290353794</v>
      </c>
    </row>
    <row r="253" spans="1:4" x14ac:dyDescent="0.2">
      <c r="A253" t="s">
        <v>708</v>
      </c>
      <c r="B253" t="s">
        <v>715</v>
      </c>
      <c r="C253" s="18">
        <v>9.8048096385542305</v>
      </c>
      <c r="D253" s="1">
        <v>77.045866415662601</v>
      </c>
    </row>
    <row r="254" spans="1:4" x14ac:dyDescent="0.2">
      <c r="A254" t="s">
        <v>708</v>
      </c>
      <c r="B254" t="s">
        <v>717</v>
      </c>
      <c r="C254" s="1">
        <v>11.941523076923</v>
      </c>
      <c r="D254" s="1">
        <v>75.352098917259298</v>
      </c>
    </row>
    <row r="255" spans="1:4" x14ac:dyDescent="0.2">
      <c r="A255" t="s">
        <v>708</v>
      </c>
      <c r="B255" t="s">
        <v>720</v>
      </c>
      <c r="C255" s="1">
        <v>12.333103099129699</v>
      </c>
      <c r="D255" s="1">
        <v>75.077684971343601</v>
      </c>
    </row>
    <row r="256" spans="1:4" x14ac:dyDescent="0.2">
      <c r="A256" t="s">
        <v>708</v>
      </c>
      <c r="B256" t="s">
        <v>723</v>
      </c>
      <c r="C256" s="1">
        <v>8.9293888205701499</v>
      </c>
      <c r="D256" s="18">
        <v>76.6360775852431</v>
      </c>
    </row>
    <row r="257" spans="1:4" x14ac:dyDescent="0.2">
      <c r="A257" t="s">
        <v>708</v>
      </c>
      <c r="B257" t="s">
        <v>725</v>
      </c>
      <c r="C257" s="1">
        <v>9.6437011740684095</v>
      </c>
      <c r="D257" s="1">
        <v>76.460596733027003</v>
      </c>
    </row>
    <row r="258" spans="1:4" x14ac:dyDescent="0.2">
      <c r="A258" t="s">
        <v>708</v>
      </c>
      <c r="B258" t="s">
        <v>728</v>
      </c>
      <c r="C258" s="1">
        <v>11.392924270557</v>
      </c>
      <c r="D258" s="1">
        <v>75.711587201591499</v>
      </c>
    </row>
    <row r="259" spans="1:4" x14ac:dyDescent="0.2">
      <c r="A259" t="s">
        <v>708</v>
      </c>
      <c r="B259" t="s">
        <v>731</v>
      </c>
      <c r="C259" s="1">
        <v>10.9732987566607</v>
      </c>
      <c r="D259" s="1">
        <v>75.939107756068694</v>
      </c>
    </row>
    <row r="260" spans="1:4" x14ac:dyDescent="0.2">
      <c r="A260" t="s">
        <v>708</v>
      </c>
      <c r="B260" t="s">
        <v>734</v>
      </c>
      <c r="C260" s="1">
        <v>10.784926903553201</v>
      </c>
      <c r="D260" s="1">
        <v>76.499804906937399</v>
      </c>
    </row>
    <row r="261" spans="1:4" x14ac:dyDescent="0.2">
      <c r="A261" t="s">
        <v>708</v>
      </c>
      <c r="B261" t="s">
        <v>737</v>
      </c>
      <c r="C261" s="1">
        <v>9.2913123931624</v>
      </c>
      <c r="D261" s="1">
        <v>76.8641232905983</v>
      </c>
    </row>
    <row r="262" spans="1:4" x14ac:dyDescent="0.2">
      <c r="A262" t="s">
        <v>708</v>
      </c>
      <c r="B262" t="s">
        <v>740</v>
      </c>
      <c r="C262" s="1">
        <v>8.5371017590822191</v>
      </c>
      <c r="D262" s="1">
        <v>76.887115028680697</v>
      </c>
    </row>
    <row r="263" spans="1:4" x14ac:dyDescent="0.2">
      <c r="A263" t="s">
        <v>708</v>
      </c>
      <c r="B263" t="s">
        <v>743</v>
      </c>
      <c r="C263" s="1">
        <v>10.4589326479076</v>
      </c>
      <c r="D263" s="1">
        <v>76.123219408369394</v>
      </c>
    </row>
    <row r="264" spans="1:4" x14ac:dyDescent="0.2">
      <c r="A264" t="s">
        <v>708</v>
      </c>
      <c r="B264" t="s">
        <v>746</v>
      </c>
      <c r="C264" s="1">
        <v>11.7152774647887</v>
      </c>
      <c r="D264" s="1">
        <v>76.075870070422496</v>
      </c>
    </row>
    <row r="265" spans="1:4" x14ac:dyDescent="0.2">
      <c r="A265" t="s">
        <v>749</v>
      </c>
      <c r="B265" t="s">
        <v>750</v>
      </c>
      <c r="C265" s="1">
        <v>10.4363905266015</v>
      </c>
      <c r="D265" s="1">
        <v>72.829927442996706</v>
      </c>
    </row>
    <row r="266" spans="1:4" x14ac:dyDescent="0.2">
      <c r="A266" t="s">
        <v>753</v>
      </c>
      <c r="B266" t="s">
        <v>754</v>
      </c>
      <c r="C266" s="1">
        <v>23.181842204300999</v>
      </c>
      <c r="D266" s="1">
        <v>81.865600000000001</v>
      </c>
    </row>
    <row r="267" spans="1:4" x14ac:dyDescent="0.2">
      <c r="A267" t="s">
        <v>753</v>
      </c>
      <c r="B267" t="s">
        <v>757</v>
      </c>
      <c r="C267" s="1">
        <v>24.630988461538401</v>
      </c>
      <c r="D267" s="1">
        <v>77.829744939271293</v>
      </c>
    </row>
    <row r="268" spans="1:4" x14ac:dyDescent="0.2">
      <c r="A268" t="s">
        <v>753</v>
      </c>
      <c r="B268" t="s">
        <v>760</v>
      </c>
      <c r="C268" s="1">
        <v>21.800207206405599</v>
      </c>
      <c r="D268" s="1">
        <v>80.421700533807893</v>
      </c>
    </row>
    <row r="269" spans="1:4" x14ac:dyDescent="0.2">
      <c r="A269" t="s">
        <v>753</v>
      </c>
      <c r="B269" t="s">
        <v>763</v>
      </c>
      <c r="C269" s="1">
        <v>21.702135714285699</v>
      </c>
      <c r="D269" s="1">
        <v>74.910047197106707</v>
      </c>
    </row>
    <row r="270" spans="1:4" x14ac:dyDescent="0.2">
      <c r="A270" t="s">
        <v>753</v>
      </c>
      <c r="B270" t="s">
        <v>766</v>
      </c>
      <c r="C270" s="1">
        <v>21.964626315789399</v>
      </c>
      <c r="D270" s="18">
        <v>77.787342818911696</v>
      </c>
    </row>
    <row r="271" spans="1:4" x14ac:dyDescent="0.2">
      <c r="A271" t="s">
        <v>753</v>
      </c>
      <c r="B271" t="s">
        <v>768</v>
      </c>
      <c r="C271" s="1">
        <v>26.359511261872399</v>
      </c>
      <c r="D271" s="18">
        <v>78.761832428765302</v>
      </c>
    </row>
    <row r="272" spans="1:4" x14ac:dyDescent="0.2">
      <c r="A272" t="s">
        <v>753</v>
      </c>
      <c r="B272" t="s">
        <v>770</v>
      </c>
      <c r="C272" s="1">
        <v>23.4807261437908</v>
      </c>
      <c r="D272" s="1">
        <v>77.392466230936705</v>
      </c>
    </row>
    <row r="273" spans="1:4" x14ac:dyDescent="0.2">
      <c r="A273" t="s">
        <v>753</v>
      </c>
      <c r="B273" t="s">
        <v>773</v>
      </c>
      <c r="C273" s="1">
        <v>21.364567254408001</v>
      </c>
      <c r="D273" s="1">
        <v>76.244604785894197</v>
      </c>
    </row>
    <row r="274" spans="1:4" x14ac:dyDescent="0.2">
      <c r="A274" t="s">
        <v>753</v>
      </c>
      <c r="B274" t="s">
        <v>776</v>
      </c>
      <c r="C274" s="1">
        <v>24.813637376460001</v>
      </c>
      <c r="D274" s="1">
        <v>79.564492991913696</v>
      </c>
    </row>
    <row r="275" spans="1:4" x14ac:dyDescent="0.2">
      <c r="A275" t="s">
        <v>753</v>
      </c>
      <c r="B275" t="s">
        <v>779</v>
      </c>
      <c r="C275" s="1">
        <v>22.227966971713801</v>
      </c>
      <c r="D275" s="1">
        <v>78.764131364392497</v>
      </c>
    </row>
    <row r="276" spans="1:4" x14ac:dyDescent="0.2">
      <c r="A276" t="s">
        <v>753</v>
      </c>
      <c r="B276" t="s">
        <v>782</v>
      </c>
      <c r="C276" s="1">
        <v>23.766244079601901</v>
      </c>
      <c r="D276" s="1">
        <v>79.470493034825793</v>
      </c>
    </row>
    <row r="277" spans="1:4" x14ac:dyDescent="0.2">
      <c r="A277" t="s">
        <v>753</v>
      </c>
      <c r="B277" t="s">
        <v>785</v>
      </c>
      <c r="C277" s="1">
        <v>25.902264395604401</v>
      </c>
      <c r="D277" s="1">
        <v>78.639165714285696</v>
      </c>
    </row>
    <row r="278" spans="1:4" x14ac:dyDescent="0.2">
      <c r="A278" t="s">
        <v>753</v>
      </c>
      <c r="B278" t="s">
        <v>788</v>
      </c>
      <c r="C278" s="18">
        <v>22.785111002132201</v>
      </c>
      <c r="D278" s="1">
        <v>76.460888059701503</v>
      </c>
    </row>
    <row r="279" spans="1:4" x14ac:dyDescent="0.2">
      <c r="A279" t="s">
        <v>753</v>
      </c>
      <c r="B279" t="s">
        <v>790</v>
      </c>
      <c r="C279" s="1">
        <v>22.5726817189631</v>
      </c>
      <c r="D279" s="18">
        <v>75.110562073669797</v>
      </c>
    </row>
    <row r="280" spans="1:4" x14ac:dyDescent="0.2">
      <c r="A280" t="s">
        <v>753</v>
      </c>
      <c r="B280" t="s">
        <v>792</v>
      </c>
      <c r="C280" s="1">
        <v>22.837384370477501</v>
      </c>
      <c r="D280" s="1">
        <v>81.043329667149095</v>
      </c>
    </row>
    <row r="281" spans="1:4" x14ac:dyDescent="0.2">
      <c r="A281" t="s">
        <v>753</v>
      </c>
      <c r="B281" t="s">
        <v>795</v>
      </c>
      <c r="C281" s="1">
        <v>22.098985600706602</v>
      </c>
      <c r="D281" s="1">
        <v>76.558055035335499</v>
      </c>
    </row>
    <row r="282" spans="1:4" x14ac:dyDescent="0.2">
      <c r="A282" t="s">
        <v>753</v>
      </c>
      <c r="B282" t="s">
        <v>798</v>
      </c>
      <c r="C282" s="1">
        <v>24.490439271781501</v>
      </c>
      <c r="D282" s="18">
        <v>77.223589596879094</v>
      </c>
    </row>
    <row r="283" spans="1:4" x14ac:dyDescent="0.2">
      <c r="A283" t="s">
        <v>753</v>
      </c>
      <c r="B283" t="s">
        <v>800</v>
      </c>
      <c r="C283" s="1">
        <v>26.040744419642799</v>
      </c>
      <c r="D283" s="1">
        <v>78.1278243303571</v>
      </c>
    </row>
    <row r="284" spans="1:4" x14ac:dyDescent="0.2">
      <c r="A284" t="s">
        <v>753</v>
      </c>
      <c r="B284" t="s">
        <v>803</v>
      </c>
      <c r="C284" s="1">
        <v>22.227659781121702</v>
      </c>
      <c r="D284" s="1">
        <v>77.070225718194294</v>
      </c>
    </row>
    <row r="285" spans="1:4" x14ac:dyDescent="0.2">
      <c r="A285" t="s">
        <v>753</v>
      </c>
      <c r="B285" t="s">
        <v>806</v>
      </c>
      <c r="C285" s="1">
        <v>22.595268801996699</v>
      </c>
      <c r="D285" s="1">
        <v>78.021680948419203</v>
      </c>
    </row>
    <row r="286" spans="1:4" x14ac:dyDescent="0.2">
      <c r="A286" t="s">
        <v>753</v>
      </c>
      <c r="B286" t="s">
        <v>809</v>
      </c>
      <c r="C286" s="1">
        <v>22.680265752128602</v>
      </c>
      <c r="D286" s="18">
        <v>75.9133801324502</v>
      </c>
    </row>
    <row r="287" spans="1:4" x14ac:dyDescent="0.2">
      <c r="A287" t="s">
        <v>753</v>
      </c>
      <c r="B287" t="s">
        <v>811</v>
      </c>
      <c r="C287" s="1">
        <v>23.185255723270402</v>
      </c>
      <c r="D287" s="1">
        <v>79.983287547169795</v>
      </c>
    </row>
    <row r="288" spans="1:4" x14ac:dyDescent="0.2">
      <c r="A288" t="s">
        <v>753</v>
      </c>
      <c r="B288" t="s">
        <v>814</v>
      </c>
      <c r="C288" s="1">
        <v>22.4195780153977</v>
      </c>
      <c r="D288" s="1">
        <v>74.409216167664596</v>
      </c>
    </row>
    <row r="289" spans="1:4" x14ac:dyDescent="0.2">
      <c r="A289" t="s">
        <v>753</v>
      </c>
      <c r="B289" t="s">
        <v>817</v>
      </c>
      <c r="C289" s="1">
        <v>23.724416229116901</v>
      </c>
      <c r="D289" s="1">
        <v>80.338196658711198</v>
      </c>
    </row>
    <row r="290" spans="1:4" x14ac:dyDescent="0.2">
      <c r="A290" t="s">
        <v>753</v>
      </c>
      <c r="B290" t="s">
        <v>820</v>
      </c>
      <c r="C290" s="1">
        <v>22.7034871244635</v>
      </c>
      <c r="D290" s="1">
        <v>80.386005436337499</v>
      </c>
    </row>
    <row r="291" spans="1:4" x14ac:dyDescent="0.2">
      <c r="A291" t="s">
        <v>753</v>
      </c>
      <c r="B291" t="s">
        <v>823</v>
      </c>
      <c r="C291" s="1">
        <v>24.192787640449399</v>
      </c>
      <c r="D291" s="1">
        <v>75.435886677367506</v>
      </c>
    </row>
    <row r="292" spans="1:4" x14ac:dyDescent="0.2">
      <c r="A292" t="s">
        <v>753</v>
      </c>
      <c r="B292" t="s">
        <v>826</v>
      </c>
      <c r="C292" s="1">
        <v>26.373135045317198</v>
      </c>
      <c r="D292" s="1">
        <v>77.884473413897197</v>
      </c>
    </row>
    <row r="293" spans="1:4" x14ac:dyDescent="0.2">
      <c r="A293" t="s">
        <v>753</v>
      </c>
      <c r="B293" t="s">
        <v>829</v>
      </c>
      <c r="C293" s="1">
        <v>22.951344683026502</v>
      </c>
      <c r="D293" s="18">
        <v>79.002024233129006</v>
      </c>
    </row>
    <row r="294" spans="1:4" x14ac:dyDescent="0.2">
      <c r="A294" t="s">
        <v>753</v>
      </c>
      <c r="B294" t="s">
        <v>831</v>
      </c>
      <c r="C294" s="1">
        <v>24.7031189333333</v>
      </c>
      <c r="D294" s="1">
        <v>75.066081866666593</v>
      </c>
    </row>
    <row r="295" spans="1:4" x14ac:dyDescent="0.2">
      <c r="A295" t="s">
        <v>753</v>
      </c>
      <c r="B295" t="s">
        <v>834</v>
      </c>
      <c r="C295" s="1">
        <v>24.451325840092601</v>
      </c>
      <c r="D295" s="1">
        <v>80.211330011587506</v>
      </c>
    </row>
    <row r="296" spans="1:4" x14ac:dyDescent="0.2">
      <c r="A296" t="s">
        <v>753</v>
      </c>
      <c r="B296" t="s">
        <v>837</v>
      </c>
      <c r="C296" s="1">
        <v>23.292518206521699</v>
      </c>
      <c r="D296" s="1">
        <v>78.163054959239005</v>
      </c>
    </row>
    <row r="297" spans="1:4" x14ac:dyDescent="0.2">
      <c r="A297" t="s">
        <v>753</v>
      </c>
      <c r="B297" t="s">
        <v>840</v>
      </c>
      <c r="C297" s="1">
        <v>23.785499026425502</v>
      </c>
      <c r="D297" s="1">
        <v>76.664312239221104</v>
      </c>
    </row>
    <row r="298" spans="1:4" x14ac:dyDescent="0.2">
      <c r="A298" t="s">
        <v>753</v>
      </c>
      <c r="B298" t="s">
        <v>843</v>
      </c>
      <c r="C298" s="1">
        <v>23.5035622905027</v>
      </c>
      <c r="D298" s="1">
        <v>75.148957821229004</v>
      </c>
    </row>
    <row r="299" spans="1:4" x14ac:dyDescent="0.2">
      <c r="A299" t="s">
        <v>753</v>
      </c>
      <c r="B299" t="s">
        <v>846</v>
      </c>
      <c r="C299" s="1">
        <v>24.861184625158799</v>
      </c>
      <c r="D299" s="1">
        <v>81.5757246505718</v>
      </c>
    </row>
    <row r="300" spans="1:4" x14ac:dyDescent="0.2">
      <c r="A300" t="s">
        <v>753</v>
      </c>
      <c r="B300" t="s">
        <v>849</v>
      </c>
      <c r="C300" s="1">
        <v>23.800318709677299</v>
      </c>
      <c r="D300" s="1">
        <v>78.719403577712697</v>
      </c>
    </row>
    <row r="301" spans="1:4" x14ac:dyDescent="0.2">
      <c r="A301" t="s">
        <v>753</v>
      </c>
      <c r="B301" t="s">
        <v>852</v>
      </c>
      <c r="C301" s="1">
        <v>24.627776217765</v>
      </c>
      <c r="D301" s="1">
        <v>80.755470487105896</v>
      </c>
    </row>
    <row r="302" spans="1:4" x14ac:dyDescent="0.2">
      <c r="A302" t="s">
        <v>753</v>
      </c>
      <c r="B302" t="s">
        <v>855</v>
      </c>
      <c r="C302" s="1">
        <v>22.929719967965799</v>
      </c>
      <c r="D302" s="1">
        <v>77.067802028830798</v>
      </c>
    </row>
    <row r="303" spans="1:4" x14ac:dyDescent="0.2">
      <c r="A303" t="s">
        <v>753</v>
      </c>
      <c r="B303" t="s">
        <v>858</v>
      </c>
      <c r="C303" s="1">
        <v>22.332304878048699</v>
      </c>
      <c r="D303" s="1">
        <v>79.6605386392811</v>
      </c>
    </row>
    <row r="304" spans="1:4" x14ac:dyDescent="0.2">
      <c r="A304" t="s">
        <v>753</v>
      </c>
      <c r="B304" t="s">
        <v>861</v>
      </c>
      <c r="C304" s="1">
        <v>23.4485986455981</v>
      </c>
      <c r="D304" s="18">
        <v>81.459683182844202</v>
      </c>
    </row>
    <row r="305" spans="1:4" x14ac:dyDescent="0.2">
      <c r="A305" t="s">
        <v>753</v>
      </c>
      <c r="B305" t="s">
        <v>863</v>
      </c>
      <c r="C305" s="1">
        <v>23.566620317220501</v>
      </c>
      <c r="D305" s="1">
        <v>76.335551812688806</v>
      </c>
    </row>
    <row r="306" spans="1:4" x14ac:dyDescent="0.2">
      <c r="A306" t="s">
        <v>753</v>
      </c>
      <c r="B306" t="s">
        <v>866</v>
      </c>
      <c r="C306" s="1">
        <v>25.780148109965602</v>
      </c>
      <c r="D306" s="1">
        <v>77.169111168384802</v>
      </c>
    </row>
    <row r="307" spans="1:4" x14ac:dyDescent="0.2">
      <c r="A307" t="s">
        <v>753</v>
      </c>
      <c r="B307" t="s">
        <v>869</v>
      </c>
      <c r="C307" s="1">
        <v>25.378024518743601</v>
      </c>
      <c r="D307" s="1">
        <v>77.748616008105401</v>
      </c>
    </row>
    <row r="308" spans="1:4" x14ac:dyDescent="0.2">
      <c r="A308" t="s">
        <v>753</v>
      </c>
      <c r="B308" t="s">
        <v>872</v>
      </c>
      <c r="C308" s="1">
        <v>24.175471899529001</v>
      </c>
      <c r="D308" s="18">
        <v>82.105378335949794</v>
      </c>
    </row>
    <row r="309" spans="1:4" x14ac:dyDescent="0.2">
      <c r="A309" t="s">
        <v>753</v>
      </c>
      <c r="B309" t="s">
        <v>874</v>
      </c>
      <c r="C309" s="1">
        <v>25.140998521046601</v>
      </c>
      <c r="D309" s="1">
        <v>78.893570648464205</v>
      </c>
    </row>
    <row r="310" spans="1:4" x14ac:dyDescent="0.2">
      <c r="A310" t="s">
        <v>753</v>
      </c>
      <c r="B310" t="s">
        <v>877</v>
      </c>
      <c r="C310" s="1">
        <v>23.319288862745001</v>
      </c>
      <c r="D310" s="1">
        <v>75.803837176470495</v>
      </c>
    </row>
    <row r="311" spans="1:4" x14ac:dyDescent="0.2">
      <c r="A311" t="s">
        <v>753</v>
      </c>
      <c r="B311" t="s">
        <v>880</v>
      </c>
      <c r="C311" s="1">
        <v>23.596010630630602</v>
      </c>
      <c r="D311" s="1">
        <v>80.908794774774705</v>
      </c>
    </row>
    <row r="312" spans="1:4" x14ac:dyDescent="0.2">
      <c r="A312" t="s">
        <v>753</v>
      </c>
      <c r="B312" t="s">
        <v>883</v>
      </c>
      <c r="C312" s="1">
        <v>23.828383079847899</v>
      </c>
      <c r="D312" s="18">
        <v>77.901350760456296</v>
      </c>
    </row>
    <row r="313" spans="1:4" x14ac:dyDescent="0.2">
      <c r="A313" t="s">
        <v>753</v>
      </c>
      <c r="B313" t="s">
        <v>885</v>
      </c>
      <c r="C313" s="1">
        <v>22.027139999999999</v>
      </c>
      <c r="D313" s="1">
        <v>75.8734374248926</v>
      </c>
    </row>
    <row r="314" spans="1:4" x14ac:dyDescent="0.2">
      <c r="A314" t="s">
        <v>888</v>
      </c>
      <c r="B314" t="s">
        <v>889</v>
      </c>
      <c r="C314" s="1">
        <v>19.217599032017802</v>
      </c>
      <c r="D314" s="1">
        <v>74.692202606105695</v>
      </c>
    </row>
    <row r="315" spans="1:4" x14ac:dyDescent="0.2">
      <c r="A315" t="s">
        <v>888</v>
      </c>
      <c r="B315" t="s">
        <v>892</v>
      </c>
      <c r="C315" s="1">
        <v>20.746310479041899</v>
      </c>
      <c r="D315" s="1">
        <v>77.121223203592706</v>
      </c>
    </row>
    <row r="316" spans="1:4" x14ac:dyDescent="0.2">
      <c r="A316" t="s">
        <v>888</v>
      </c>
      <c r="B316" t="s">
        <v>895</v>
      </c>
      <c r="C316" s="1">
        <v>21.165209918107301</v>
      </c>
      <c r="D316" s="1">
        <v>77.6758350318472</v>
      </c>
    </row>
    <row r="317" spans="1:4" x14ac:dyDescent="0.2">
      <c r="A317" t="s">
        <v>888</v>
      </c>
      <c r="B317" t="s">
        <v>193</v>
      </c>
      <c r="C317" s="1">
        <v>20.097922883295102</v>
      </c>
      <c r="D317" s="1">
        <v>75.320721967963294</v>
      </c>
    </row>
    <row r="318" spans="1:4" x14ac:dyDescent="0.2">
      <c r="A318" t="s">
        <v>888</v>
      </c>
      <c r="B318" t="s">
        <v>900</v>
      </c>
      <c r="C318" s="1">
        <v>21.211792649727698</v>
      </c>
      <c r="D318" s="1">
        <v>80.109501996370199</v>
      </c>
    </row>
    <row r="319" spans="1:4" x14ac:dyDescent="0.2">
      <c r="A319" t="s">
        <v>888</v>
      </c>
      <c r="B319" t="s">
        <v>903</v>
      </c>
      <c r="C319" s="1">
        <v>18.952353340080901</v>
      </c>
      <c r="D319" s="1">
        <v>75.693197064777294</v>
      </c>
    </row>
    <row r="320" spans="1:4" x14ac:dyDescent="0.2">
      <c r="A320" t="s">
        <v>888</v>
      </c>
      <c r="B320" t="s">
        <v>906</v>
      </c>
      <c r="C320" s="1">
        <v>20.5668061118335</v>
      </c>
      <c r="D320" s="1">
        <v>76.390178803640893</v>
      </c>
    </row>
    <row r="321" spans="1:4" x14ac:dyDescent="0.2">
      <c r="A321" t="s">
        <v>888</v>
      </c>
      <c r="B321" t="s">
        <v>909</v>
      </c>
      <c r="C321" s="1">
        <v>20.095609090909001</v>
      </c>
      <c r="D321" s="1">
        <v>79.315563804713804</v>
      </c>
    </row>
    <row r="322" spans="1:4" x14ac:dyDescent="0.2">
      <c r="A322" t="s">
        <v>888</v>
      </c>
      <c r="B322" t="s">
        <v>912</v>
      </c>
      <c r="C322" s="1">
        <v>21.274018690400499</v>
      </c>
      <c r="D322" s="1">
        <v>74.587190718372597</v>
      </c>
    </row>
    <row r="323" spans="1:4" x14ac:dyDescent="0.2">
      <c r="A323" t="s">
        <v>888</v>
      </c>
      <c r="B323" t="s">
        <v>915</v>
      </c>
      <c r="C323" s="1">
        <v>19.795546096654199</v>
      </c>
      <c r="D323" s="1">
        <v>80.309655638166006</v>
      </c>
    </row>
    <row r="324" spans="1:4" x14ac:dyDescent="0.2">
      <c r="A324" t="s">
        <v>888</v>
      </c>
      <c r="B324" t="s">
        <v>918</v>
      </c>
      <c r="C324" s="1">
        <v>21.225008411214901</v>
      </c>
      <c r="D324" s="1">
        <v>80.175226985981197</v>
      </c>
    </row>
    <row r="325" spans="1:4" x14ac:dyDescent="0.2">
      <c r="A325" t="s">
        <v>888</v>
      </c>
      <c r="B325" t="s">
        <v>921</v>
      </c>
      <c r="C325" s="1">
        <v>19.0850697880269</v>
      </c>
      <c r="D325" s="1">
        <v>72.842619613324104</v>
      </c>
    </row>
    <row r="326" spans="1:4" x14ac:dyDescent="0.2">
      <c r="A326" t="s">
        <v>888</v>
      </c>
      <c r="B326" t="s">
        <v>924</v>
      </c>
      <c r="C326" s="1">
        <v>19.5952530224525</v>
      </c>
      <c r="D326" s="1">
        <v>77.0923941278065</v>
      </c>
    </row>
    <row r="327" spans="1:4" x14ac:dyDescent="0.2">
      <c r="A327" t="s">
        <v>888</v>
      </c>
      <c r="B327" t="s">
        <v>927</v>
      </c>
      <c r="C327" s="18">
        <v>20.882894341563802</v>
      </c>
      <c r="D327" s="1">
        <v>75.551404218106896</v>
      </c>
    </row>
    <row r="328" spans="1:4" x14ac:dyDescent="0.2">
      <c r="A328" t="s">
        <v>888</v>
      </c>
      <c r="B328" t="s">
        <v>929</v>
      </c>
      <c r="C328" s="1">
        <v>19.984612534818901</v>
      </c>
      <c r="D328" s="1">
        <v>75.984736072423303</v>
      </c>
    </row>
    <row r="329" spans="1:4" x14ac:dyDescent="0.2">
      <c r="A329" t="s">
        <v>888</v>
      </c>
      <c r="B329" t="s">
        <v>932</v>
      </c>
      <c r="C329" s="1">
        <v>16.448813015873</v>
      </c>
      <c r="D329" s="1">
        <v>74.128971507936399</v>
      </c>
    </row>
    <row r="330" spans="1:4" x14ac:dyDescent="0.2">
      <c r="A330" t="s">
        <v>888</v>
      </c>
      <c r="B330" t="s">
        <v>935</v>
      </c>
      <c r="C330" s="1">
        <v>18.3486872689938</v>
      </c>
      <c r="D330" s="1">
        <v>76.758126078028695</v>
      </c>
    </row>
    <row r="331" spans="1:4" x14ac:dyDescent="0.2">
      <c r="A331" t="s">
        <v>888</v>
      </c>
      <c r="B331" t="s">
        <v>938</v>
      </c>
      <c r="C331" s="1">
        <v>21.196556862745101</v>
      </c>
      <c r="D331" s="1">
        <v>79.021661764705797</v>
      </c>
    </row>
    <row r="332" spans="1:4" x14ac:dyDescent="0.2">
      <c r="A332" t="s">
        <v>888</v>
      </c>
      <c r="B332" t="s">
        <v>941</v>
      </c>
      <c r="C332" s="18">
        <v>19.209316983017001</v>
      </c>
      <c r="D332" s="18">
        <v>77.682904895104897</v>
      </c>
    </row>
    <row r="333" spans="1:4" x14ac:dyDescent="0.2">
      <c r="A333" t="s">
        <v>888</v>
      </c>
      <c r="B333" t="s">
        <v>942</v>
      </c>
      <c r="C333" s="1">
        <v>21.523175625248101</v>
      </c>
      <c r="D333" s="1">
        <v>74.326387574434193</v>
      </c>
    </row>
    <row r="334" spans="1:4" x14ac:dyDescent="0.2">
      <c r="A334" t="s">
        <v>888</v>
      </c>
      <c r="B334" t="s">
        <v>945</v>
      </c>
      <c r="C334" s="1">
        <v>20.266912871287101</v>
      </c>
      <c r="D334" s="1">
        <v>74.038241683168195</v>
      </c>
    </row>
    <row r="335" spans="1:4" x14ac:dyDescent="0.2">
      <c r="A335" t="s">
        <v>888</v>
      </c>
      <c r="B335" t="s">
        <v>948</v>
      </c>
      <c r="C335" s="1">
        <v>18.194594560669401</v>
      </c>
      <c r="D335" s="1">
        <v>75.994955753138001</v>
      </c>
    </row>
    <row r="336" spans="1:4" x14ac:dyDescent="0.2">
      <c r="A336" t="s">
        <v>888</v>
      </c>
      <c r="B336" t="s">
        <v>951</v>
      </c>
      <c r="C336" s="1">
        <v>19.310324252491601</v>
      </c>
      <c r="D336" s="1">
        <v>76.701633388704295</v>
      </c>
    </row>
    <row r="337" spans="1:4" x14ac:dyDescent="0.2">
      <c r="A337" t="s">
        <v>888</v>
      </c>
      <c r="B337" t="s">
        <v>954</v>
      </c>
      <c r="C337" s="1">
        <v>18.516961714285699</v>
      </c>
      <c r="D337" s="1">
        <v>74.129228816326403</v>
      </c>
    </row>
    <row r="338" spans="1:4" x14ac:dyDescent="0.2">
      <c r="A338" t="s">
        <v>888</v>
      </c>
      <c r="B338" t="s">
        <v>330</v>
      </c>
      <c r="C338" s="1">
        <v>18.453257637845901</v>
      </c>
      <c r="D338" s="18">
        <v>73.009060941857896</v>
      </c>
    </row>
    <row r="339" spans="1:4" x14ac:dyDescent="0.2">
      <c r="A339" t="s">
        <v>888</v>
      </c>
      <c r="B339" t="s">
        <v>958</v>
      </c>
      <c r="C339" s="1">
        <v>17.2101950701277</v>
      </c>
      <c r="D339" s="1">
        <v>73.257258938663995</v>
      </c>
    </row>
    <row r="340" spans="1:4" x14ac:dyDescent="0.2">
      <c r="A340" t="s">
        <v>888</v>
      </c>
      <c r="B340" t="s">
        <v>961</v>
      </c>
      <c r="C340" s="1">
        <v>17.154930181086499</v>
      </c>
      <c r="D340" s="1">
        <v>74.707138229376199</v>
      </c>
    </row>
    <row r="341" spans="1:4" x14ac:dyDescent="0.2">
      <c r="A341" t="s">
        <v>888</v>
      </c>
      <c r="B341" t="s">
        <v>964</v>
      </c>
      <c r="C341" s="18">
        <v>17.6737908974359</v>
      </c>
      <c r="D341" s="1">
        <v>74.180520641025495</v>
      </c>
    </row>
    <row r="342" spans="1:4" x14ac:dyDescent="0.2">
      <c r="A342" t="s">
        <v>888</v>
      </c>
      <c r="B342" t="s">
        <v>966</v>
      </c>
      <c r="C342" s="1">
        <v>16.170948049777099</v>
      </c>
      <c r="D342" s="1">
        <v>73.513290081723397</v>
      </c>
    </row>
    <row r="343" spans="1:4" x14ac:dyDescent="0.2">
      <c r="A343" t="s">
        <v>888</v>
      </c>
      <c r="B343" t="s">
        <v>969</v>
      </c>
      <c r="C343" s="1">
        <v>17.837357937584802</v>
      </c>
      <c r="D343" s="1">
        <v>75.423948236092102</v>
      </c>
    </row>
    <row r="344" spans="1:4" x14ac:dyDescent="0.2">
      <c r="A344" t="s">
        <v>888</v>
      </c>
      <c r="B344" t="s">
        <v>972</v>
      </c>
      <c r="C344" s="1">
        <v>19.698767747440201</v>
      </c>
      <c r="D344" s="1">
        <v>72.798827425645797</v>
      </c>
    </row>
    <row r="345" spans="1:4" x14ac:dyDescent="0.2">
      <c r="A345" t="s">
        <v>888</v>
      </c>
      <c r="B345" t="s">
        <v>975</v>
      </c>
      <c r="C345" s="1">
        <v>20.807430243902399</v>
      </c>
      <c r="D345" s="1">
        <v>78.572591056910596</v>
      </c>
    </row>
    <row r="346" spans="1:4" x14ac:dyDescent="0.2">
      <c r="A346" t="s">
        <v>888</v>
      </c>
      <c r="B346" t="s">
        <v>978</v>
      </c>
      <c r="C346" s="1">
        <v>20.282282394366199</v>
      </c>
      <c r="D346" s="1">
        <v>77.255023943661996</v>
      </c>
    </row>
    <row r="347" spans="1:4" x14ac:dyDescent="0.2">
      <c r="A347" t="s">
        <v>888</v>
      </c>
      <c r="B347" t="s">
        <v>981</v>
      </c>
      <c r="C347" s="1">
        <v>20.042583467381501</v>
      </c>
      <c r="D347" s="1">
        <v>78.053263717604693</v>
      </c>
    </row>
    <row r="348" spans="1:4" x14ac:dyDescent="0.2">
      <c r="A348" t="s">
        <v>984</v>
      </c>
      <c r="B348" t="s">
        <v>985</v>
      </c>
      <c r="C348" s="1">
        <v>24.5071211180124</v>
      </c>
      <c r="D348" s="18">
        <v>93.824623602484493</v>
      </c>
    </row>
    <row r="349" spans="1:4" x14ac:dyDescent="0.2">
      <c r="A349" t="s">
        <v>984</v>
      </c>
      <c r="B349" t="s">
        <v>987</v>
      </c>
      <c r="C349" s="18">
        <v>24.2635812987013</v>
      </c>
      <c r="D349" s="1">
        <v>94.094438441558395</v>
      </c>
    </row>
    <row r="350" spans="1:4" x14ac:dyDescent="0.2">
      <c r="A350" t="s">
        <v>984</v>
      </c>
      <c r="B350" t="s">
        <v>989</v>
      </c>
      <c r="C350" s="1">
        <v>24.303097188755</v>
      </c>
      <c r="D350" s="1">
        <v>93.386715060240803</v>
      </c>
    </row>
    <row r="351" spans="1:4" x14ac:dyDescent="0.2">
      <c r="A351" t="s">
        <v>984</v>
      </c>
      <c r="B351" t="s">
        <v>992</v>
      </c>
      <c r="C351" s="1">
        <v>24.821058072289102</v>
      </c>
      <c r="D351" s="1">
        <v>93.669512048192601</v>
      </c>
    </row>
    <row r="352" spans="1:4" x14ac:dyDescent="0.2">
      <c r="A352" t="s">
        <v>984</v>
      </c>
      <c r="B352" t="s">
        <v>995</v>
      </c>
      <c r="C352" s="1">
        <v>25.084655860349098</v>
      </c>
      <c r="D352" s="1">
        <v>94.033662344139501</v>
      </c>
    </row>
    <row r="353" spans="1:4" x14ac:dyDescent="0.2">
      <c r="A353" t="s">
        <v>984</v>
      </c>
      <c r="B353" t="s">
        <v>998</v>
      </c>
      <c r="C353" s="1">
        <v>24.9831294223826</v>
      </c>
      <c r="D353" s="1">
        <v>93.494507400722</v>
      </c>
    </row>
    <row r="354" spans="1:4" x14ac:dyDescent="0.2">
      <c r="A354" t="s">
        <v>984</v>
      </c>
      <c r="B354" t="s">
        <v>1001</v>
      </c>
      <c r="C354" s="1">
        <v>24.545392553191402</v>
      </c>
      <c r="D354" s="1">
        <v>93.979598936170206</v>
      </c>
    </row>
    <row r="355" spans="1:4" x14ac:dyDescent="0.2">
      <c r="A355" t="s">
        <v>984</v>
      </c>
      <c r="B355" t="s">
        <v>1004</v>
      </c>
      <c r="C355" s="1">
        <v>25.059003149606198</v>
      </c>
      <c r="D355" s="1">
        <v>94.441295669291307</v>
      </c>
    </row>
    <row r="356" spans="1:4" x14ac:dyDescent="0.2">
      <c r="A356" t="s">
        <v>984</v>
      </c>
      <c r="B356" t="s">
        <v>1007</v>
      </c>
      <c r="C356" s="1">
        <v>24.7940055865921</v>
      </c>
      <c r="D356" s="1">
        <v>93.888590502793207</v>
      </c>
    </row>
    <row r="357" spans="1:4" x14ac:dyDescent="0.2">
      <c r="A357" t="s">
        <v>1010</v>
      </c>
      <c r="B357" t="s">
        <v>1011</v>
      </c>
      <c r="C357" s="1">
        <v>25.827282282282201</v>
      </c>
      <c r="D357" s="1">
        <v>90.646849249249101</v>
      </c>
    </row>
    <row r="358" spans="1:4" x14ac:dyDescent="0.2">
      <c r="A358" t="s">
        <v>1010</v>
      </c>
      <c r="B358" t="s">
        <v>1014</v>
      </c>
      <c r="C358" s="1">
        <v>25.303763888888799</v>
      </c>
      <c r="D358" s="1">
        <v>91.759225198412693</v>
      </c>
    </row>
    <row r="359" spans="1:4" x14ac:dyDescent="0.2">
      <c r="A359" t="s">
        <v>1010</v>
      </c>
      <c r="B359" t="s">
        <v>1017</v>
      </c>
      <c r="C359" s="1">
        <v>25.3395955706984</v>
      </c>
      <c r="D359" s="1">
        <v>92.376081601362898</v>
      </c>
    </row>
    <row r="360" spans="1:4" x14ac:dyDescent="0.2">
      <c r="A360" t="s">
        <v>1010</v>
      </c>
      <c r="B360" t="s">
        <v>1020</v>
      </c>
      <c r="C360" s="1">
        <v>25.897066004414899</v>
      </c>
      <c r="D360" s="18">
        <v>91.845161589403901</v>
      </c>
    </row>
    <row r="361" spans="1:4" x14ac:dyDescent="0.2">
      <c r="A361" t="s">
        <v>1010</v>
      </c>
      <c r="B361" t="s">
        <v>1022</v>
      </c>
      <c r="C361" s="1">
        <v>25.240568578553599</v>
      </c>
      <c r="D361" s="1">
        <v>90.6456034912717</v>
      </c>
    </row>
    <row r="362" spans="1:4" x14ac:dyDescent="0.2">
      <c r="A362" t="s">
        <v>1010</v>
      </c>
      <c r="B362" t="s">
        <v>1025</v>
      </c>
      <c r="C362" s="1">
        <v>25.4952851851851</v>
      </c>
      <c r="D362" s="1">
        <v>90.037099470899406</v>
      </c>
    </row>
    <row r="363" spans="1:4" x14ac:dyDescent="0.2">
      <c r="A363" t="s">
        <v>1010</v>
      </c>
      <c r="B363" t="s">
        <v>1028</v>
      </c>
      <c r="C363" s="1">
        <v>25.500889926739902</v>
      </c>
      <c r="D363" s="1">
        <v>91.253645421245295</v>
      </c>
    </row>
    <row r="364" spans="1:4" x14ac:dyDescent="0.2">
      <c r="A364" t="s">
        <v>1031</v>
      </c>
      <c r="B364" t="s">
        <v>1032</v>
      </c>
      <c r="C364" s="1">
        <v>23.907813354531001</v>
      </c>
      <c r="D364" s="1">
        <v>92.853594594594696</v>
      </c>
    </row>
    <row r="365" spans="1:4" x14ac:dyDescent="0.2">
      <c r="A365" t="s">
        <v>1031</v>
      </c>
      <c r="B365" t="s">
        <v>1035</v>
      </c>
      <c r="C365" s="1">
        <v>23.541665809768599</v>
      </c>
      <c r="D365" s="1">
        <v>93.242217994858606</v>
      </c>
    </row>
    <row r="366" spans="1:4" x14ac:dyDescent="0.2">
      <c r="A366" t="s">
        <v>1031</v>
      </c>
      <c r="B366" t="s">
        <v>1038</v>
      </c>
      <c r="C366" s="1">
        <v>24.202000434782502</v>
      </c>
      <c r="D366" s="1">
        <v>92.734703913043404</v>
      </c>
    </row>
    <row r="367" spans="1:4" x14ac:dyDescent="0.2">
      <c r="A367" t="s">
        <v>1031</v>
      </c>
      <c r="B367" t="s">
        <v>1041</v>
      </c>
      <c r="C367" s="1">
        <v>22.3610284313725</v>
      </c>
      <c r="D367" s="1">
        <v>92.669641568627497</v>
      </c>
    </row>
    <row r="368" spans="1:4" x14ac:dyDescent="0.2">
      <c r="A368" t="s">
        <v>1031</v>
      </c>
      <c r="B368" t="s">
        <v>1044</v>
      </c>
      <c r="C368" s="1">
        <v>23.0077170361726</v>
      </c>
      <c r="D368" s="1">
        <v>92.635125554258906</v>
      </c>
    </row>
    <row r="369" spans="1:4" x14ac:dyDescent="0.2">
      <c r="A369" t="s">
        <v>1031</v>
      </c>
      <c r="B369" t="s">
        <v>1047</v>
      </c>
      <c r="C369" s="1">
        <v>23.738529425028101</v>
      </c>
      <c r="D369" s="18">
        <v>92.433080383314703</v>
      </c>
    </row>
    <row r="370" spans="1:4" x14ac:dyDescent="0.2">
      <c r="A370" t="s">
        <v>1031</v>
      </c>
      <c r="B370" t="s">
        <v>1049</v>
      </c>
      <c r="C370" s="1">
        <v>22.35744801061</v>
      </c>
      <c r="D370" s="1">
        <v>93.0282793103448</v>
      </c>
    </row>
    <row r="371" spans="1:4" x14ac:dyDescent="0.2">
      <c r="A371" t="s">
        <v>1031</v>
      </c>
      <c r="B371" t="s">
        <v>1052</v>
      </c>
      <c r="C371" s="1">
        <v>23.263864705882298</v>
      </c>
      <c r="D371" s="1">
        <v>92.914158496732</v>
      </c>
    </row>
    <row r="372" spans="1:4" x14ac:dyDescent="0.2">
      <c r="A372" t="s">
        <v>1055</v>
      </c>
      <c r="B372" t="s">
        <v>1056</v>
      </c>
      <c r="C372" s="1">
        <v>25.814176811594201</v>
      </c>
      <c r="D372" s="1">
        <v>93.750740579710097</v>
      </c>
    </row>
    <row r="373" spans="1:4" x14ac:dyDescent="0.2">
      <c r="A373" t="s">
        <v>1055</v>
      </c>
      <c r="B373" t="s">
        <v>1059</v>
      </c>
      <c r="C373" s="1">
        <v>25.603114285714199</v>
      </c>
      <c r="D373" s="1">
        <v>93.786006575963697</v>
      </c>
    </row>
    <row r="374" spans="1:4" x14ac:dyDescent="0.2">
      <c r="A374" t="s">
        <v>1055</v>
      </c>
      <c r="B374" t="s">
        <v>1062</v>
      </c>
      <c r="C374" s="1">
        <v>26.478911764705799</v>
      </c>
      <c r="D374" s="18">
        <v>94.522426006192006</v>
      </c>
    </row>
    <row r="375" spans="1:4" x14ac:dyDescent="0.2">
      <c r="A375" t="s">
        <v>1055</v>
      </c>
      <c r="B375" t="s">
        <v>1064</v>
      </c>
      <c r="C375" s="1">
        <v>26.692073743016699</v>
      </c>
      <c r="D375" s="1">
        <v>95.030729888268198</v>
      </c>
    </row>
    <row r="376" spans="1:4" x14ac:dyDescent="0.2">
      <c r="A376" t="s">
        <v>1055</v>
      </c>
      <c r="B376" t="s">
        <v>1067</v>
      </c>
      <c r="C376" s="1">
        <v>25.6327298657718</v>
      </c>
      <c r="D376" s="1">
        <v>94.568145637583896</v>
      </c>
    </row>
    <row r="377" spans="1:4" x14ac:dyDescent="0.2">
      <c r="A377" t="s">
        <v>1055</v>
      </c>
      <c r="B377" t="s">
        <v>1070</v>
      </c>
      <c r="C377" s="1">
        <v>26.211044532803101</v>
      </c>
      <c r="D377" s="1">
        <v>94.858098807157006</v>
      </c>
    </row>
    <row r="378" spans="1:4" x14ac:dyDescent="0.2">
      <c r="A378" t="s">
        <v>1055</v>
      </c>
      <c r="B378" t="s">
        <v>1073</v>
      </c>
      <c r="C378" s="1">
        <v>26.202611551155101</v>
      </c>
      <c r="D378" s="1">
        <v>94.199081518151701</v>
      </c>
    </row>
    <row r="379" spans="1:4" x14ac:dyDescent="0.2">
      <c r="A379" t="s">
        <v>1055</v>
      </c>
      <c r="B379" t="s">
        <v>1076</v>
      </c>
      <c r="C379" s="1">
        <v>26.028178205128199</v>
      </c>
      <c r="D379" s="1">
        <v>94.500266666666604</v>
      </c>
    </row>
    <row r="380" spans="1:4" x14ac:dyDescent="0.2">
      <c r="A380" t="s">
        <v>1079</v>
      </c>
      <c r="B380" t="s">
        <v>1080</v>
      </c>
      <c r="C380" s="1">
        <v>21.120706197654901</v>
      </c>
      <c r="D380" s="1">
        <v>84.998392127303205</v>
      </c>
    </row>
    <row r="381" spans="1:4" x14ac:dyDescent="0.2">
      <c r="A381" t="s">
        <v>1079</v>
      </c>
      <c r="B381" t="s">
        <v>1083</v>
      </c>
      <c r="C381" s="1">
        <v>21.4857093231162</v>
      </c>
      <c r="D381" s="1">
        <v>87.080858280119301</v>
      </c>
    </row>
    <row r="382" spans="1:4" x14ac:dyDescent="0.2">
      <c r="A382" t="s">
        <v>1079</v>
      </c>
      <c r="B382" t="s">
        <v>1086</v>
      </c>
      <c r="C382" s="1">
        <v>21.1324063793103</v>
      </c>
      <c r="D382" s="1">
        <v>83.264444999999895</v>
      </c>
    </row>
    <row r="383" spans="1:4" x14ac:dyDescent="0.2">
      <c r="A383" t="s">
        <v>1079</v>
      </c>
      <c r="B383" t="s">
        <v>1089</v>
      </c>
      <c r="C383" s="1">
        <v>20.952627352572101</v>
      </c>
      <c r="D383" s="1">
        <v>86.814962045169295</v>
      </c>
    </row>
    <row r="384" spans="1:4" x14ac:dyDescent="0.2">
      <c r="A384" t="s">
        <v>1079</v>
      </c>
      <c r="B384" t="s">
        <v>1092</v>
      </c>
      <c r="C384" s="1">
        <v>20.616300298507401</v>
      </c>
      <c r="D384" s="1">
        <v>83.215200597014899</v>
      </c>
    </row>
    <row r="385" spans="1:4" x14ac:dyDescent="0.2">
      <c r="A385" t="s">
        <v>1079</v>
      </c>
      <c r="B385" t="s">
        <v>1095</v>
      </c>
      <c r="C385" s="1">
        <v>20.583190740740701</v>
      </c>
      <c r="D385" s="1">
        <v>84.123633068782993</v>
      </c>
    </row>
    <row r="386" spans="1:4" x14ac:dyDescent="0.2">
      <c r="A386" t="s">
        <v>1079</v>
      </c>
      <c r="B386" t="s">
        <v>1098</v>
      </c>
      <c r="C386" s="1">
        <v>20.407640646029598</v>
      </c>
      <c r="D386" s="18">
        <v>85.777681022880202</v>
      </c>
    </row>
    <row r="387" spans="1:4" x14ac:dyDescent="0.2">
      <c r="A387" t="s">
        <v>1079</v>
      </c>
      <c r="B387" t="s">
        <v>1100</v>
      </c>
      <c r="C387" s="1">
        <v>21.431462015503801</v>
      </c>
      <c r="D387" s="1">
        <v>84.814524806201604</v>
      </c>
    </row>
    <row r="388" spans="1:4" x14ac:dyDescent="0.2">
      <c r="A388" t="s">
        <v>1079</v>
      </c>
      <c r="B388" t="s">
        <v>1103</v>
      </c>
      <c r="C388" s="1">
        <v>20.798871593533399</v>
      </c>
      <c r="D388" s="1">
        <v>85.532268360277101</v>
      </c>
    </row>
    <row r="389" spans="1:4" x14ac:dyDescent="0.2">
      <c r="A389" t="s">
        <v>1079</v>
      </c>
      <c r="B389" t="s">
        <v>1106</v>
      </c>
      <c r="C389" s="1">
        <v>19.121080882352899</v>
      </c>
      <c r="D389" s="1">
        <v>84.140150919117502</v>
      </c>
    </row>
    <row r="390" spans="1:4" x14ac:dyDescent="0.2">
      <c r="A390" t="s">
        <v>1079</v>
      </c>
      <c r="B390" t="s">
        <v>1109</v>
      </c>
      <c r="C390" s="1">
        <v>19.2632617564533</v>
      </c>
      <c r="D390" s="1">
        <v>84.802977104377007</v>
      </c>
    </row>
    <row r="391" spans="1:4" x14ac:dyDescent="0.2">
      <c r="A391" t="s">
        <v>1079</v>
      </c>
      <c r="B391" t="s">
        <v>1112</v>
      </c>
      <c r="C391" s="1">
        <v>20.114443183609101</v>
      </c>
      <c r="D391" s="1">
        <v>86.432652587339106</v>
      </c>
    </row>
    <row r="392" spans="1:4" x14ac:dyDescent="0.2">
      <c r="A392" t="s">
        <v>1079</v>
      </c>
      <c r="B392" t="s">
        <v>1115</v>
      </c>
      <c r="C392" s="1">
        <v>20.853249094202901</v>
      </c>
      <c r="D392" s="1">
        <v>86.152773007246296</v>
      </c>
    </row>
    <row r="393" spans="1:4" x14ac:dyDescent="0.2">
      <c r="A393" t="s">
        <v>1079</v>
      </c>
      <c r="B393" t="s">
        <v>1118</v>
      </c>
      <c r="C393" s="1">
        <v>21.827058566978099</v>
      </c>
      <c r="D393" s="1">
        <v>83.9358168224298</v>
      </c>
    </row>
    <row r="394" spans="1:4" x14ac:dyDescent="0.2">
      <c r="A394" t="s">
        <v>1079</v>
      </c>
      <c r="B394" t="s">
        <v>1121</v>
      </c>
      <c r="C394" s="1">
        <v>19.784253092783501</v>
      </c>
      <c r="D394" s="18">
        <v>83.112404381443298</v>
      </c>
    </row>
    <row r="395" spans="1:4" x14ac:dyDescent="0.2">
      <c r="A395" t="s">
        <v>1079</v>
      </c>
      <c r="B395" t="s">
        <v>1123</v>
      </c>
      <c r="C395" s="1">
        <v>20.0928786248131</v>
      </c>
      <c r="D395" s="1">
        <v>84.022163527653206</v>
      </c>
    </row>
    <row r="396" spans="1:4" x14ac:dyDescent="0.2">
      <c r="A396" t="s">
        <v>1079</v>
      </c>
      <c r="B396" t="s">
        <v>1126</v>
      </c>
      <c r="C396" s="1">
        <v>20.6063198159822</v>
      </c>
      <c r="D396" s="1">
        <v>86.83763247572</v>
      </c>
    </row>
    <row r="397" spans="1:4" x14ac:dyDescent="0.2">
      <c r="A397" t="s">
        <v>1079</v>
      </c>
      <c r="B397" t="s">
        <v>1129</v>
      </c>
      <c r="C397" s="1">
        <v>21.4922574025973</v>
      </c>
      <c r="D397" s="1">
        <v>85.762769870129901</v>
      </c>
    </row>
    <row r="398" spans="1:4" x14ac:dyDescent="0.2">
      <c r="A398" t="s">
        <v>1079</v>
      </c>
      <c r="B398" t="s">
        <v>1132</v>
      </c>
      <c r="C398" s="1">
        <v>20.054162322274799</v>
      </c>
      <c r="D398" s="1">
        <v>85.522348341232203</v>
      </c>
    </row>
    <row r="399" spans="1:4" x14ac:dyDescent="0.2">
      <c r="A399" t="s">
        <v>1079</v>
      </c>
      <c r="B399" t="s">
        <v>1135</v>
      </c>
      <c r="C399" s="1">
        <v>18.826277947794701</v>
      </c>
      <c r="D399" s="1">
        <v>82.812784698469599</v>
      </c>
    </row>
    <row r="400" spans="1:4" x14ac:dyDescent="0.2">
      <c r="A400" t="s">
        <v>1079</v>
      </c>
      <c r="B400" t="s">
        <v>1138</v>
      </c>
      <c r="C400" s="1">
        <v>18.252279303675</v>
      </c>
      <c r="D400" s="1">
        <v>81.982936363636199</v>
      </c>
    </row>
    <row r="401" spans="1:4" x14ac:dyDescent="0.2">
      <c r="A401" t="s">
        <v>1079</v>
      </c>
      <c r="B401" t="s">
        <v>1141</v>
      </c>
      <c r="C401" s="1">
        <v>21.897621545157701</v>
      </c>
      <c r="D401" s="18">
        <v>86.4030408052231</v>
      </c>
    </row>
    <row r="402" spans="1:4" x14ac:dyDescent="0.2">
      <c r="A402" t="s">
        <v>1079</v>
      </c>
      <c r="B402" t="s">
        <v>1143</v>
      </c>
      <c r="C402" s="1">
        <v>19.513047166921901</v>
      </c>
      <c r="D402" s="1">
        <v>82.420419601837594</v>
      </c>
    </row>
    <row r="403" spans="1:4" x14ac:dyDescent="0.2">
      <c r="A403" t="s">
        <v>1079</v>
      </c>
      <c r="B403" t="s">
        <v>1146</v>
      </c>
      <c r="C403" s="1">
        <v>20.192895622119799</v>
      </c>
      <c r="D403" s="1">
        <v>85.056147004608206</v>
      </c>
    </row>
    <row r="404" spans="1:4" x14ac:dyDescent="0.2">
      <c r="A404" t="s">
        <v>1079</v>
      </c>
      <c r="B404" t="s">
        <v>1149</v>
      </c>
      <c r="C404" s="1">
        <v>20.471309512195099</v>
      </c>
      <c r="D404" s="1">
        <v>82.591525365853599</v>
      </c>
    </row>
    <row r="405" spans="1:4" x14ac:dyDescent="0.2">
      <c r="A405" t="s">
        <v>1079</v>
      </c>
      <c r="B405" t="s">
        <v>1152</v>
      </c>
      <c r="C405" s="1">
        <v>19.835091746031701</v>
      </c>
      <c r="D405" s="1">
        <v>85.8669898989898</v>
      </c>
    </row>
    <row r="406" spans="1:4" x14ac:dyDescent="0.2">
      <c r="A406" t="s">
        <v>1079</v>
      </c>
      <c r="B406" t="s">
        <v>1155</v>
      </c>
      <c r="C406" s="1">
        <v>19.292840020060201</v>
      </c>
      <c r="D406" s="1">
        <v>83.458601203610897</v>
      </c>
    </row>
    <row r="407" spans="1:4" x14ac:dyDescent="0.2">
      <c r="A407" t="s">
        <v>1079</v>
      </c>
      <c r="B407" t="s">
        <v>1158</v>
      </c>
      <c r="C407" s="1">
        <v>21.5157523809523</v>
      </c>
      <c r="D407" s="1">
        <v>84.349584832451498</v>
      </c>
    </row>
    <row r="408" spans="1:4" x14ac:dyDescent="0.2">
      <c r="A408" t="s">
        <v>1079</v>
      </c>
      <c r="B408" t="s">
        <v>1161</v>
      </c>
      <c r="C408" s="1">
        <v>20.8908032934131</v>
      </c>
      <c r="D408" s="1">
        <v>83.768526347305297</v>
      </c>
    </row>
    <row r="409" spans="1:4" x14ac:dyDescent="0.2">
      <c r="A409" t="s">
        <v>1079</v>
      </c>
      <c r="B409" t="s">
        <v>1164</v>
      </c>
      <c r="C409" s="1">
        <v>22.063548192771002</v>
      </c>
      <c r="D409" s="1">
        <v>84.505248192770907</v>
      </c>
    </row>
    <row r="410" spans="1:4" x14ac:dyDescent="0.2">
      <c r="A410" t="s">
        <v>1167</v>
      </c>
      <c r="B410" t="s">
        <v>1168</v>
      </c>
      <c r="C410" s="1">
        <v>10.8761617260788</v>
      </c>
      <c r="D410" s="1">
        <v>79.823697936209996</v>
      </c>
    </row>
    <row r="411" spans="1:4" x14ac:dyDescent="0.2">
      <c r="A411" t="s">
        <v>1167</v>
      </c>
      <c r="B411" t="s">
        <v>1171</v>
      </c>
      <c r="C411" s="1">
        <v>12.006420793787701</v>
      </c>
      <c r="D411" s="1">
        <v>75.282750215703203</v>
      </c>
    </row>
    <row r="412" spans="1:4" x14ac:dyDescent="0.2">
      <c r="A412" t="s">
        <v>1167</v>
      </c>
      <c r="B412" t="s">
        <v>1167</v>
      </c>
      <c r="C412" s="1">
        <v>11.887806269592399</v>
      </c>
      <c r="D412" s="18">
        <v>79.797109613375198</v>
      </c>
    </row>
    <row r="413" spans="1:4" x14ac:dyDescent="0.2">
      <c r="A413" t="s">
        <v>1167</v>
      </c>
      <c r="B413" t="s">
        <v>1175</v>
      </c>
      <c r="C413" s="1">
        <v>16.7076956521739</v>
      </c>
      <c r="D413" s="1">
        <v>82.261873043478303</v>
      </c>
    </row>
    <row r="414" spans="1:4" x14ac:dyDescent="0.2">
      <c r="A414" t="s">
        <v>1178</v>
      </c>
      <c r="B414" t="s">
        <v>1179</v>
      </c>
      <c r="C414" s="1">
        <v>31.548679820627701</v>
      </c>
      <c r="D414" s="1">
        <v>74.798838565022294</v>
      </c>
    </row>
    <row r="415" spans="1:4" x14ac:dyDescent="0.2">
      <c r="A415" t="s">
        <v>1178</v>
      </c>
      <c r="B415" t="s">
        <v>1182</v>
      </c>
      <c r="C415" s="1">
        <v>30.190524611973299</v>
      </c>
      <c r="D415" s="1">
        <v>75.056858980044296</v>
      </c>
    </row>
    <row r="416" spans="1:4" x14ac:dyDescent="0.2">
      <c r="A416" t="s">
        <v>1178</v>
      </c>
      <c r="B416" t="s">
        <v>1185</v>
      </c>
      <c r="C416" s="1">
        <v>30.591187250996001</v>
      </c>
      <c r="D416" s="1">
        <v>74.797515537848597</v>
      </c>
    </row>
    <row r="417" spans="1:4" x14ac:dyDescent="0.2">
      <c r="A417" t="s">
        <v>1178</v>
      </c>
      <c r="B417" t="s">
        <v>1188</v>
      </c>
      <c r="C417" s="1">
        <v>30.642909473684199</v>
      </c>
      <c r="D417" s="1">
        <v>76.362083947368404</v>
      </c>
    </row>
    <row r="418" spans="1:4" x14ac:dyDescent="0.2">
      <c r="A418" t="s">
        <v>1178</v>
      </c>
      <c r="B418" t="s">
        <v>1191</v>
      </c>
      <c r="C418" s="1">
        <v>30.6340753521126</v>
      </c>
      <c r="D418" s="1">
        <v>74.402457323943594</v>
      </c>
    </row>
    <row r="419" spans="1:4" x14ac:dyDescent="0.2">
      <c r="A419" t="s">
        <v>1178</v>
      </c>
      <c r="B419" t="s">
        <v>1194</v>
      </c>
      <c r="C419" s="1">
        <v>32.042833712121201</v>
      </c>
      <c r="D419" s="18">
        <v>75.320406439393906</v>
      </c>
    </row>
    <row r="420" spans="1:4" x14ac:dyDescent="0.2">
      <c r="A420" t="s">
        <v>1178</v>
      </c>
      <c r="B420" t="s">
        <v>1196</v>
      </c>
      <c r="C420" s="1">
        <v>31.551571698113101</v>
      </c>
      <c r="D420" s="18">
        <v>75.8469857442349</v>
      </c>
    </row>
    <row r="421" spans="1:4" x14ac:dyDescent="0.2">
      <c r="A421" t="s">
        <v>1178</v>
      </c>
      <c r="B421" t="s">
        <v>1198</v>
      </c>
      <c r="C421" s="1">
        <v>31.2503369072165</v>
      </c>
      <c r="D421" s="1">
        <v>75.544003505154606</v>
      </c>
    </row>
    <row r="422" spans="1:4" x14ac:dyDescent="0.2">
      <c r="A422" t="s">
        <v>1178</v>
      </c>
      <c r="B422" t="s">
        <v>1201</v>
      </c>
      <c r="C422" s="1">
        <v>31.336592638036802</v>
      </c>
      <c r="D422" s="1">
        <v>75.476411656441698</v>
      </c>
    </row>
    <row r="423" spans="1:4" x14ac:dyDescent="0.2">
      <c r="A423" t="s">
        <v>1178</v>
      </c>
      <c r="B423" t="s">
        <v>1204</v>
      </c>
      <c r="C423" s="1">
        <v>30.765963973799099</v>
      </c>
      <c r="D423" s="1">
        <v>75.831108515283802</v>
      </c>
    </row>
    <row r="424" spans="1:4" x14ac:dyDescent="0.2">
      <c r="A424" t="s">
        <v>1178</v>
      </c>
      <c r="B424" t="s">
        <v>1207</v>
      </c>
      <c r="C424" s="1">
        <v>29.919547714285699</v>
      </c>
      <c r="D424" s="18">
        <v>75.430492285714294</v>
      </c>
    </row>
    <row r="425" spans="1:4" x14ac:dyDescent="0.2">
      <c r="A425" t="s">
        <v>1178</v>
      </c>
      <c r="B425" t="s">
        <v>1209</v>
      </c>
      <c r="C425" s="1">
        <v>30.756540067340001</v>
      </c>
      <c r="D425" s="18">
        <v>75.160084511784504</v>
      </c>
    </row>
    <row r="426" spans="1:4" x14ac:dyDescent="0.2">
      <c r="A426" t="s">
        <v>1178</v>
      </c>
      <c r="B426" t="s">
        <v>1211</v>
      </c>
      <c r="C426" s="1">
        <v>30.312433033032999</v>
      </c>
      <c r="D426" s="18">
        <v>74.551874774774802</v>
      </c>
    </row>
    <row r="427" spans="1:4" x14ac:dyDescent="0.2">
      <c r="A427" t="s">
        <v>1178</v>
      </c>
      <c r="B427" t="s">
        <v>1213</v>
      </c>
      <c r="C427" s="1">
        <v>31.133445454545399</v>
      </c>
      <c r="D427" s="18">
        <v>76.1019243636364</v>
      </c>
    </row>
    <row r="428" spans="1:4" x14ac:dyDescent="0.2">
      <c r="A428" t="s">
        <v>1178</v>
      </c>
      <c r="B428" t="s">
        <v>1215</v>
      </c>
      <c r="C428" s="1">
        <v>30.2145403806933</v>
      </c>
      <c r="D428" s="1">
        <v>76.275058939496901</v>
      </c>
    </row>
    <row r="429" spans="1:4" x14ac:dyDescent="0.2">
      <c r="A429" t="s">
        <v>1178</v>
      </c>
      <c r="B429" t="s">
        <v>1218</v>
      </c>
      <c r="C429" s="1">
        <v>30.910937330754301</v>
      </c>
      <c r="D429" s="1">
        <v>76.537435009671199</v>
      </c>
    </row>
    <row r="430" spans="1:4" x14ac:dyDescent="0.2">
      <c r="A430" t="s">
        <v>1178</v>
      </c>
      <c r="B430" t="s">
        <v>1221</v>
      </c>
      <c r="C430" s="1">
        <v>30.185045204336799</v>
      </c>
      <c r="D430" s="1">
        <v>75.894370141784904</v>
      </c>
    </row>
    <row r="431" spans="1:4" x14ac:dyDescent="0.2">
      <c r="A431" t="s">
        <v>1224</v>
      </c>
      <c r="B431" t="s">
        <v>1225</v>
      </c>
      <c r="C431" s="1">
        <v>26.1993003787879</v>
      </c>
      <c r="D431" s="18">
        <v>74.699041919191899</v>
      </c>
    </row>
    <row r="432" spans="1:4" x14ac:dyDescent="0.2">
      <c r="A432" t="s">
        <v>1224</v>
      </c>
      <c r="B432" t="s">
        <v>1227</v>
      </c>
      <c r="C432" s="1">
        <v>27.5527173803526</v>
      </c>
      <c r="D432" s="1">
        <v>76.653596305625598</v>
      </c>
    </row>
    <row r="433" spans="1:4" x14ac:dyDescent="0.2">
      <c r="A433" t="s">
        <v>1224</v>
      </c>
      <c r="B433" t="s">
        <v>1230</v>
      </c>
      <c r="C433" s="1">
        <v>23.453642032967</v>
      </c>
      <c r="D433" s="1">
        <v>74.442468681318601</v>
      </c>
    </row>
    <row r="434" spans="1:4" x14ac:dyDescent="0.2">
      <c r="A434" t="s">
        <v>1224</v>
      </c>
      <c r="B434" t="s">
        <v>1233</v>
      </c>
      <c r="C434" s="1">
        <v>24.980232432432398</v>
      </c>
      <c r="D434" s="1">
        <v>76.8621065182829</v>
      </c>
    </row>
    <row r="435" spans="1:4" x14ac:dyDescent="0.2">
      <c r="A435" t="s">
        <v>1224</v>
      </c>
      <c r="B435" t="s">
        <v>1236</v>
      </c>
      <c r="C435" s="1">
        <v>25.770709080459699</v>
      </c>
      <c r="D435" s="1">
        <v>71.502971264367801</v>
      </c>
    </row>
    <row r="436" spans="1:4" x14ac:dyDescent="0.2">
      <c r="A436" t="s">
        <v>1224</v>
      </c>
      <c r="B436" t="s">
        <v>1239</v>
      </c>
      <c r="C436" s="1">
        <v>27.3241185803757</v>
      </c>
      <c r="D436" s="1">
        <v>77.217520772442498</v>
      </c>
    </row>
    <row r="437" spans="1:4" x14ac:dyDescent="0.2">
      <c r="A437" t="s">
        <v>1224</v>
      </c>
      <c r="B437" t="s">
        <v>1242</v>
      </c>
      <c r="C437" s="1">
        <v>25.451197677595601</v>
      </c>
      <c r="D437" s="1">
        <v>74.639475956284102</v>
      </c>
    </row>
    <row r="438" spans="1:4" x14ac:dyDescent="0.2">
      <c r="A438" t="s">
        <v>1224</v>
      </c>
      <c r="B438" t="s">
        <v>1245</v>
      </c>
      <c r="C438" s="1">
        <v>28.1248906832298</v>
      </c>
      <c r="D438" s="1">
        <v>73.2694332298137</v>
      </c>
    </row>
    <row r="439" spans="1:4" x14ac:dyDescent="0.2">
      <c r="A439" t="s">
        <v>1224</v>
      </c>
      <c r="B439" t="s">
        <v>1248</v>
      </c>
      <c r="C439" s="1">
        <v>25.4858071604937</v>
      </c>
      <c r="D439" s="1">
        <v>75.799840740740706</v>
      </c>
    </row>
    <row r="440" spans="1:4" x14ac:dyDescent="0.2">
      <c r="A440" t="s">
        <v>1224</v>
      </c>
      <c r="B440" t="s">
        <v>1251</v>
      </c>
      <c r="C440" s="1">
        <v>24.631623761665399</v>
      </c>
      <c r="D440" s="1">
        <v>74.800109978463794</v>
      </c>
    </row>
    <row r="441" spans="1:4" x14ac:dyDescent="0.2">
      <c r="A441" t="s">
        <v>1224</v>
      </c>
      <c r="B441" t="s">
        <v>1254</v>
      </c>
      <c r="C441" s="1">
        <v>28.2933037553648</v>
      </c>
      <c r="D441" s="1">
        <v>74.658464270386204</v>
      </c>
    </row>
    <row r="442" spans="1:4" x14ac:dyDescent="0.2">
      <c r="A442" t="s">
        <v>1224</v>
      </c>
      <c r="B442" t="s">
        <v>1257</v>
      </c>
      <c r="C442" s="1">
        <v>26.9123481762918</v>
      </c>
      <c r="D442" s="1">
        <v>76.573420972644399</v>
      </c>
    </row>
    <row r="443" spans="1:4" x14ac:dyDescent="0.2">
      <c r="A443" t="s">
        <v>1224</v>
      </c>
      <c r="B443" t="s">
        <v>1260</v>
      </c>
      <c r="C443" s="1">
        <v>26.723970549450499</v>
      </c>
      <c r="D443" s="1">
        <v>77.744762197802203</v>
      </c>
    </row>
    <row r="444" spans="1:4" x14ac:dyDescent="0.2">
      <c r="A444" t="s">
        <v>1224</v>
      </c>
      <c r="B444" t="s">
        <v>1263</v>
      </c>
      <c r="C444" s="1">
        <v>23.751048076922999</v>
      </c>
      <c r="D444" s="1">
        <v>73.847656410256405</v>
      </c>
    </row>
    <row r="445" spans="1:4" x14ac:dyDescent="0.2">
      <c r="A445" t="s">
        <v>1224</v>
      </c>
      <c r="B445" t="s">
        <v>1266</v>
      </c>
      <c r="C445" s="1">
        <v>29.256785412667899</v>
      </c>
      <c r="D445" s="1">
        <v>73.561923032629394</v>
      </c>
    </row>
    <row r="446" spans="1:4" x14ac:dyDescent="0.2">
      <c r="A446" t="s">
        <v>1224</v>
      </c>
      <c r="B446" t="s">
        <v>1269</v>
      </c>
      <c r="C446" s="18">
        <v>29.181335179153098</v>
      </c>
      <c r="D446" s="1">
        <v>74.746325732898995</v>
      </c>
    </row>
    <row r="447" spans="1:4" x14ac:dyDescent="0.2">
      <c r="A447" t="s">
        <v>1224</v>
      </c>
      <c r="B447" t="s">
        <v>1271</v>
      </c>
      <c r="C447" s="1">
        <v>27.0334592901878</v>
      </c>
      <c r="D447" s="1">
        <v>75.771172860125304</v>
      </c>
    </row>
    <row r="448" spans="1:4" x14ac:dyDescent="0.2">
      <c r="A448" t="s">
        <v>1224</v>
      </c>
      <c r="B448" t="s">
        <v>1274</v>
      </c>
      <c r="C448" s="1">
        <v>26.869008385481798</v>
      </c>
      <c r="D448" s="1">
        <v>71.183718773466794</v>
      </c>
    </row>
    <row r="449" spans="1:4" x14ac:dyDescent="0.2">
      <c r="A449" t="s">
        <v>1224</v>
      </c>
      <c r="B449" t="s">
        <v>1277</v>
      </c>
      <c r="C449" s="1">
        <v>25.075780937972699</v>
      </c>
      <c r="D449" s="1">
        <v>72.186472617246594</v>
      </c>
    </row>
    <row r="450" spans="1:4" x14ac:dyDescent="0.2">
      <c r="A450" t="s">
        <v>1224</v>
      </c>
      <c r="B450" t="s">
        <v>1280</v>
      </c>
      <c r="C450" s="1">
        <v>24.247255414746501</v>
      </c>
      <c r="D450" s="1">
        <v>76.112428917050593</v>
      </c>
    </row>
    <row r="451" spans="1:4" x14ac:dyDescent="0.2">
      <c r="A451" t="s">
        <v>1224</v>
      </c>
      <c r="B451" t="s">
        <v>1283</v>
      </c>
      <c r="C451" s="1">
        <v>28.135174012474</v>
      </c>
      <c r="D451" s="1">
        <v>75.528408939708896</v>
      </c>
    </row>
    <row r="452" spans="1:4" x14ac:dyDescent="0.2">
      <c r="A452" t="s">
        <v>1224</v>
      </c>
      <c r="B452" t="s">
        <v>1286</v>
      </c>
      <c r="C452" s="1">
        <v>26.6784608385369</v>
      </c>
      <c r="D452" s="1">
        <v>73.004508474576198</v>
      </c>
    </row>
    <row r="453" spans="1:4" x14ac:dyDescent="0.2">
      <c r="A453" t="s">
        <v>1224</v>
      </c>
      <c r="B453" t="s">
        <v>1289</v>
      </c>
      <c r="C453" s="1">
        <v>26.519015555555502</v>
      </c>
      <c r="D453" s="1">
        <v>76.960818181818098</v>
      </c>
    </row>
    <row r="454" spans="1:4" x14ac:dyDescent="0.2">
      <c r="A454" t="s">
        <v>1224</v>
      </c>
      <c r="B454" t="s">
        <v>1292</v>
      </c>
      <c r="C454" s="1">
        <v>25.175718079999999</v>
      </c>
      <c r="D454" s="1">
        <v>76.186189279999994</v>
      </c>
    </row>
    <row r="455" spans="1:4" x14ac:dyDescent="0.2">
      <c r="A455" t="s">
        <v>1224</v>
      </c>
      <c r="B455" t="s">
        <v>1295</v>
      </c>
      <c r="C455" s="1">
        <v>27.0786201604814</v>
      </c>
      <c r="D455" s="1">
        <v>74.142156670010095</v>
      </c>
    </row>
    <row r="456" spans="1:4" x14ac:dyDescent="0.2">
      <c r="A456" t="s">
        <v>1224</v>
      </c>
      <c r="B456" t="s">
        <v>1298</v>
      </c>
      <c r="C456" s="1">
        <v>25.8049039354187</v>
      </c>
      <c r="D456" s="1">
        <v>73.552856407668997</v>
      </c>
    </row>
    <row r="457" spans="1:4" x14ac:dyDescent="0.2">
      <c r="A457" t="s">
        <v>1224</v>
      </c>
      <c r="B457" t="s">
        <v>1301</v>
      </c>
      <c r="C457" s="1">
        <v>25.248947674418499</v>
      </c>
      <c r="D457" s="1">
        <v>73.965702159468407</v>
      </c>
    </row>
    <row r="458" spans="1:4" x14ac:dyDescent="0.2">
      <c r="A458" t="s">
        <v>1224</v>
      </c>
      <c r="B458" t="s">
        <v>1304</v>
      </c>
      <c r="C458" s="1">
        <v>26.251081180223199</v>
      </c>
      <c r="D458" s="18">
        <v>76.4219283891548</v>
      </c>
    </row>
    <row r="459" spans="1:4" x14ac:dyDescent="0.2">
      <c r="A459" t="s">
        <v>1224</v>
      </c>
      <c r="B459" t="s">
        <v>1306</v>
      </c>
      <c r="C459" s="1">
        <v>27.6464405864197</v>
      </c>
      <c r="D459" s="1">
        <v>75.293174228395003</v>
      </c>
    </row>
    <row r="460" spans="1:4" x14ac:dyDescent="0.2">
      <c r="A460" t="s">
        <v>1224</v>
      </c>
      <c r="B460" t="s">
        <v>1309</v>
      </c>
      <c r="C460" s="18">
        <v>24.797690526315801</v>
      </c>
      <c r="D460" s="1">
        <v>72.753091315789405</v>
      </c>
    </row>
    <row r="461" spans="1:4" x14ac:dyDescent="0.2">
      <c r="A461" t="s">
        <v>1224</v>
      </c>
      <c r="B461" t="s">
        <v>1311</v>
      </c>
      <c r="C461" s="1">
        <v>26.153935071707899</v>
      </c>
      <c r="D461" s="1">
        <v>75.791922164276301</v>
      </c>
    </row>
    <row r="462" spans="1:4" x14ac:dyDescent="0.2">
      <c r="A462" t="s">
        <v>1224</v>
      </c>
      <c r="B462" t="s">
        <v>1314</v>
      </c>
      <c r="C462" s="1">
        <v>24.440767521367398</v>
      </c>
      <c r="D462" s="1">
        <v>73.840298397435802</v>
      </c>
    </row>
    <row r="463" spans="1:4" x14ac:dyDescent="0.2">
      <c r="A463" t="s">
        <v>1317</v>
      </c>
      <c r="B463" t="s">
        <v>1318</v>
      </c>
      <c r="C463" s="1">
        <v>27.296003529411699</v>
      </c>
      <c r="D463" s="1">
        <v>88.749083921568499</v>
      </c>
    </row>
    <row r="464" spans="1:4" x14ac:dyDescent="0.2">
      <c r="A464" t="s">
        <v>1317</v>
      </c>
      <c r="B464" t="s">
        <v>1321</v>
      </c>
      <c r="C464" s="1">
        <v>27.8138100470957</v>
      </c>
      <c r="D464" s="1">
        <v>88.542005651491294</v>
      </c>
    </row>
    <row r="465" spans="1:4" x14ac:dyDescent="0.2">
      <c r="A465" t="s">
        <v>1317</v>
      </c>
      <c r="B465" t="s">
        <v>1324</v>
      </c>
      <c r="C465" s="1">
        <v>27.278021621621601</v>
      </c>
      <c r="D465" s="1">
        <v>88.375385945945894</v>
      </c>
    </row>
    <row r="466" spans="1:4" x14ac:dyDescent="0.2">
      <c r="A466" t="s">
        <v>1317</v>
      </c>
      <c r="B466" t="s">
        <v>1327</v>
      </c>
      <c r="C466" s="18">
        <v>27.3359816</v>
      </c>
      <c r="D466" s="1">
        <v>88.158011999999999</v>
      </c>
    </row>
    <row r="467" spans="1:4" x14ac:dyDescent="0.2">
      <c r="A467" t="s">
        <v>1329</v>
      </c>
      <c r="B467" t="s">
        <v>1330</v>
      </c>
      <c r="C467" s="1">
        <v>11.190514836795201</v>
      </c>
      <c r="D467" s="1">
        <v>79.222496439169106</v>
      </c>
    </row>
    <row r="468" spans="1:4" x14ac:dyDescent="0.2">
      <c r="A468" t="s">
        <v>1329</v>
      </c>
      <c r="B468" t="s">
        <v>1333</v>
      </c>
      <c r="C468" s="1">
        <v>13.0580989056087</v>
      </c>
      <c r="D468" s="1">
        <v>80.281391518467998</v>
      </c>
    </row>
    <row r="469" spans="1:4" x14ac:dyDescent="0.2">
      <c r="A469" t="s">
        <v>1329</v>
      </c>
      <c r="B469" t="s">
        <v>1336</v>
      </c>
      <c r="C469" s="1">
        <v>10.8713769959404</v>
      </c>
      <c r="D469" s="1">
        <v>77.076190121786198</v>
      </c>
    </row>
    <row r="470" spans="1:4" x14ac:dyDescent="0.2">
      <c r="A470" t="s">
        <v>1329</v>
      </c>
      <c r="B470" t="s">
        <v>1339</v>
      </c>
      <c r="C470" s="1">
        <v>11.5758730061349</v>
      </c>
      <c r="D470" s="1">
        <v>79.6300236537149</v>
      </c>
    </row>
    <row r="471" spans="1:4" x14ac:dyDescent="0.2">
      <c r="A471" t="s">
        <v>1329</v>
      </c>
      <c r="B471" t="s">
        <v>1342</v>
      </c>
      <c r="C471" s="1">
        <v>12.300141200000001</v>
      </c>
      <c r="D471" s="1">
        <v>78.115098133333305</v>
      </c>
    </row>
    <row r="472" spans="1:4" x14ac:dyDescent="0.2">
      <c r="A472" t="s">
        <v>1329</v>
      </c>
      <c r="B472" t="s">
        <v>1345</v>
      </c>
      <c r="C472" s="1">
        <v>10.377801390820499</v>
      </c>
      <c r="D472" s="1">
        <v>77.7801127955493</v>
      </c>
    </row>
    <row r="473" spans="1:4" x14ac:dyDescent="0.2">
      <c r="A473" t="s">
        <v>1329</v>
      </c>
      <c r="B473" t="s">
        <v>1348</v>
      </c>
      <c r="C473" s="1">
        <v>11.2670121559633</v>
      </c>
      <c r="D473" s="1">
        <v>77.420343348623902</v>
      </c>
    </row>
    <row r="474" spans="1:4" x14ac:dyDescent="0.2">
      <c r="A474" t="s">
        <v>1329</v>
      </c>
      <c r="B474" t="s">
        <v>1351</v>
      </c>
      <c r="C474" s="1">
        <v>12.4964247565118</v>
      </c>
      <c r="D474" s="1">
        <v>80.088203601359098</v>
      </c>
    </row>
    <row r="475" spans="1:4" x14ac:dyDescent="0.2">
      <c r="A475" t="s">
        <v>1329</v>
      </c>
      <c r="B475" t="s">
        <v>1354</v>
      </c>
      <c r="C475" s="1">
        <v>8.1834663001911991</v>
      </c>
      <c r="D475" s="1">
        <v>77.320530640535296</v>
      </c>
    </row>
    <row r="476" spans="1:4" x14ac:dyDescent="0.2">
      <c r="A476" t="s">
        <v>1329</v>
      </c>
      <c r="B476" t="s">
        <v>1357</v>
      </c>
      <c r="C476" s="1">
        <v>10.795327766179501</v>
      </c>
      <c r="D476" s="1">
        <v>78.087496868475995</v>
      </c>
    </row>
    <row r="477" spans="1:4" x14ac:dyDescent="0.2">
      <c r="A477" t="s">
        <v>1329</v>
      </c>
      <c r="B477" t="s">
        <v>1360</v>
      </c>
      <c r="C477" s="1">
        <v>9.9043138333333296</v>
      </c>
      <c r="D477" s="1">
        <v>78.013660333333306</v>
      </c>
    </row>
    <row r="478" spans="1:4" x14ac:dyDescent="0.2">
      <c r="A478" t="s">
        <v>1329</v>
      </c>
      <c r="B478" t="s">
        <v>1363</v>
      </c>
      <c r="C478" s="1">
        <v>10.789468161718199</v>
      </c>
      <c r="D478" s="1">
        <v>79.794372994314799</v>
      </c>
    </row>
    <row r="479" spans="1:4" x14ac:dyDescent="0.2">
      <c r="A479" t="s">
        <v>1329</v>
      </c>
      <c r="B479" t="s">
        <v>1366</v>
      </c>
      <c r="C479" s="1">
        <v>11.337666384778</v>
      </c>
      <c r="D479" s="1">
        <v>78.146248414376302</v>
      </c>
    </row>
    <row r="480" spans="1:4" x14ac:dyDescent="0.2">
      <c r="A480" t="s">
        <v>1329</v>
      </c>
      <c r="B480" t="s">
        <v>1369</v>
      </c>
      <c r="C480" s="1">
        <v>11.442361661341801</v>
      </c>
      <c r="D480" s="18">
        <v>76.661464217252401</v>
      </c>
    </row>
    <row r="481" spans="1:4" x14ac:dyDescent="0.2">
      <c r="A481" t="s">
        <v>1329</v>
      </c>
      <c r="B481" t="s">
        <v>1371</v>
      </c>
      <c r="C481" s="1">
        <v>11.260137758112</v>
      </c>
      <c r="D481" s="1">
        <v>78.860340117994099</v>
      </c>
    </row>
    <row r="482" spans="1:4" x14ac:dyDescent="0.2">
      <c r="A482" t="s">
        <v>1329</v>
      </c>
      <c r="B482" t="s">
        <v>1374</v>
      </c>
      <c r="C482" s="1">
        <v>10.1305148164335</v>
      </c>
      <c r="D482" s="1">
        <v>79.054444842657205</v>
      </c>
    </row>
    <row r="483" spans="1:4" x14ac:dyDescent="0.2">
      <c r="A483" t="s">
        <v>1329</v>
      </c>
      <c r="B483" t="s">
        <v>1377</v>
      </c>
      <c r="C483" s="1">
        <v>9.3128699515347595</v>
      </c>
      <c r="D483" s="1">
        <v>78.991853624124602</v>
      </c>
    </row>
    <row r="484" spans="1:4" x14ac:dyDescent="0.2">
      <c r="A484" t="s">
        <v>1329</v>
      </c>
      <c r="B484" t="s">
        <v>1380</v>
      </c>
      <c r="C484" s="1">
        <v>11.6293242021276</v>
      </c>
      <c r="D484" s="18">
        <v>78.247825797872295</v>
      </c>
    </row>
    <row r="485" spans="1:4" x14ac:dyDescent="0.2">
      <c r="A485" t="s">
        <v>1329</v>
      </c>
      <c r="B485" t="s">
        <v>1382</v>
      </c>
      <c r="C485" s="1">
        <v>9.9603065806451507</v>
      </c>
      <c r="D485" s="1">
        <v>78.565357290322495</v>
      </c>
    </row>
    <row r="486" spans="1:4" x14ac:dyDescent="0.2">
      <c r="A486" t="s">
        <v>1329</v>
      </c>
      <c r="B486" t="s">
        <v>1385</v>
      </c>
      <c r="C486" s="1">
        <v>10.387692255892199</v>
      </c>
      <c r="D486" s="18">
        <v>79.319486910774501</v>
      </c>
    </row>
    <row r="487" spans="1:4" x14ac:dyDescent="0.2">
      <c r="A487" t="s">
        <v>1329</v>
      </c>
      <c r="B487" t="s">
        <v>1387</v>
      </c>
      <c r="C487" s="1">
        <v>9.9240666666666595</v>
      </c>
      <c r="D487" s="1">
        <v>77.434588333333295</v>
      </c>
    </row>
    <row r="488" spans="1:4" x14ac:dyDescent="0.2">
      <c r="A488" t="s">
        <v>1329</v>
      </c>
      <c r="B488" t="s">
        <v>1390</v>
      </c>
      <c r="C488" s="1">
        <v>13.275858101752799</v>
      </c>
      <c r="D488" s="1">
        <v>80.197247028644895</v>
      </c>
    </row>
    <row r="489" spans="1:4" x14ac:dyDescent="0.2">
      <c r="A489" t="s">
        <v>1329</v>
      </c>
      <c r="B489" t="s">
        <v>1393</v>
      </c>
      <c r="C489" s="1">
        <v>10.3689274093959</v>
      </c>
      <c r="D489" s="1">
        <v>79.603228939597201</v>
      </c>
    </row>
    <row r="490" spans="1:4" x14ac:dyDescent="0.2">
      <c r="A490" t="s">
        <v>1329</v>
      </c>
      <c r="B490" t="s">
        <v>1396</v>
      </c>
      <c r="C490" s="1">
        <v>8.7209611697027807</v>
      </c>
      <c r="D490" s="1">
        <v>78.138326909555502</v>
      </c>
    </row>
    <row r="491" spans="1:4" x14ac:dyDescent="0.2">
      <c r="A491" t="s">
        <v>1329</v>
      </c>
      <c r="B491" t="s">
        <v>1399</v>
      </c>
      <c r="C491" s="1">
        <v>10.8378413232104</v>
      </c>
      <c r="D491" s="1">
        <v>78.547290021691893</v>
      </c>
    </row>
    <row r="492" spans="1:4" x14ac:dyDescent="0.2">
      <c r="A492" t="s">
        <v>1329</v>
      </c>
      <c r="B492" t="s">
        <v>1402</v>
      </c>
      <c r="C492" s="18">
        <v>8.4574307038261605</v>
      </c>
      <c r="D492" s="1">
        <v>77.705496362777595</v>
      </c>
    </row>
    <row r="493" spans="1:4" x14ac:dyDescent="0.2">
      <c r="A493" t="s">
        <v>1329</v>
      </c>
      <c r="B493" t="s">
        <v>1404</v>
      </c>
      <c r="C493" s="1">
        <v>12.419318947368399</v>
      </c>
      <c r="D493" s="1">
        <v>79.232656315789498</v>
      </c>
    </row>
    <row r="494" spans="1:4" x14ac:dyDescent="0.2">
      <c r="A494" t="s">
        <v>1329</v>
      </c>
      <c r="B494" t="s">
        <v>1407</v>
      </c>
      <c r="C494" s="1">
        <v>12.784882632293</v>
      </c>
      <c r="D494" s="1">
        <v>79.026432835820799</v>
      </c>
    </row>
    <row r="495" spans="1:4" x14ac:dyDescent="0.2">
      <c r="A495" t="s">
        <v>1329</v>
      </c>
      <c r="B495" t="s">
        <v>1410</v>
      </c>
      <c r="C495" s="1">
        <v>12.065571352676701</v>
      </c>
      <c r="D495" s="18">
        <v>79.689891009399204</v>
      </c>
    </row>
    <row r="496" spans="1:4" x14ac:dyDescent="0.2">
      <c r="A496" t="s">
        <v>1329</v>
      </c>
      <c r="B496" t="s">
        <v>1412</v>
      </c>
      <c r="C496" s="1">
        <v>9.4688721958925601</v>
      </c>
      <c r="D496" s="1">
        <v>77.876414691943097</v>
      </c>
    </row>
    <row r="497" spans="1:4" x14ac:dyDescent="0.2">
      <c r="A497" t="s">
        <v>1415</v>
      </c>
      <c r="B497" t="s">
        <v>1416</v>
      </c>
      <c r="C497" s="1">
        <v>23.781360477941099</v>
      </c>
      <c r="D497" s="1">
        <v>91.946542830882294</v>
      </c>
    </row>
    <row r="498" spans="1:4" x14ac:dyDescent="0.2">
      <c r="A498" t="s">
        <v>1415</v>
      </c>
      <c r="B498" t="s">
        <v>1419</v>
      </c>
      <c r="C498" s="1">
        <v>24.121739755351602</v>
      </c>
      <c r="D498" s="1">
        <v>92.178425382262901</v>
      </c>
    </row>
    <row r="499" spans="1:4" x14ac:dyDescent="0.2">
      <c r="A499" t="s">
        <v>1415</v>
      </c>
      <c r="B499" t="s">
        <v>1422</v>
      </c>
      <c r="C499" s="1">
        <v>23.211874098057301</v>
      </c>
      <c r="D499" s="18">
        <v>91.606580758556802</v>
      </c>
    </row>
    <row r="500" spans="1:4" x14ac:dyDescent="0.2">
      <c r="A500" t="s">
        <v>1415</v>
      </c>
      <c r="B500" t="s">
        <v>1424</v>
      </c>
      <c r="C500" s="1">
        <v>23.780166241299298</v>
      </c>
      <c r="D500" s="1">
        <v>91.413107888631004</v>
      </c>
    </row>
    <row r="501" spans="1:4" x14ac:dyDescent="0.2">
      <c r="A501" t="s">
        <v>1427</v>
      </c>
      <c r="B501" t="s">
        <v>1428</v>
      </c>
      <c r="C501" s="1">
        <v>26.995129749103899</v>
      </c>
      <c r="D501" s="1">
        <v>78.052782915173196</v>
      </c>
    </row>
    <row r="502" spans="1:4" x14ac:dyDescent="0.2">
      <c r="A502" t="s">
        <v>1427</v>
      </c>
      <c r="B502" t="s">
        <v>1431</v>
      </c>
      <c r="C502" s="1">
        <v>27.937485768500899</v>
      </c>
      <c r="D502" s="1">
        <v>78.001468311195495</v>
      </c>
    </row>
    <row r="503" spans="1:4" x14ac:dyDescent="0.2">
      <c r="A503" t="s">
        <v>1427</v>
      </c>
      <c r="B503" t="s">
        <v>1434</v>
      </c>
      <c r="C503" s="1">
        <v>25.392038662316399</v>
      </c>
      <c r="D503" s="1">
        <v>82.051724469820599</v>
      </c>
    </row>
    <row r="504" spans="1:4" x14ac:dyDescent="0.2">
      <c r="A504" t="s">
        <v>1427</v>
      </c>
      <c r="B504" t="s">
        <v>1437</v>
      </c>
      <c r="C504" s="1">
        <v>26.391190259740199</v>
      </c>
      <c r="D504" s="1">
        <v>82.682821428571401</v>
      </c>
    </row>
    <row r="505" spans="1:4" x14ac:dyDescent="0.2">
      <c r="A505" t="s">
        <v>1427</v>
      </c>
      <c r="B505" t="s">
        <v>1440</v>
      </c>
      <c r="C505" s="1">
        <v>26.6689239401496</v>
      </c>
      <c r="D505" s="1">
        <v>79.426370573566004</v>
      </c>
    </row>
    <row r="506" spans="1:4" x14ac:dyDescent="0.2">
      <c r="A506" t="s">
        <v>1427</v>
      </c>
      <c r="B506" t="s">
        <v>1443</v>
      </c>
      <c r="C506" s="1">
        <v>26.008290954773798</v>
      </c>
      <c r="D506" s="1">
        <v>83.012202512562794</v>
      </c>
    </row>
    <row r="507" spans="1:4" x14ac:dyDescent="0.2">
      <c r="A507" t="s">
        <v>1427</v>
      </c>
      <c r="B507" t="s">
        <v>1446</v>
      </c>
      <c r="C507" s="1">
        <v>28.085956727272698</v>
      </c>
      <c r="D507" s="1">
        <v>78.997107999999997</v>
      </c>
    </row>
    <row r="508" spans="1:4" x14ac:dyDescent="0.2">
      <c r="A508" t="s">
        <v>1427</v>
      </c>
      <c r="B508" t="s">
        <v>1449</v>
      </c>
      <c r="C508" s="1">
        <v>29.045793499999899</v>
      </c>
      <c r="D508" s="1">
        <v>77.302662999999995</v>
      </c>
    </row>
    <row r="509" spans="1:4" x14ac:dyDescent="0.2">
      <c r="A509" t="s">
        <v>1427</v>
      </c>
      <c r="B509" t="s">
        <v>1452</v>
      </c>
      <c r="C509" s="1">
        <v>27.691776300577999</v>
      </c>
      <c r="D509" s="1">
        <v>81.467797832369996</v>
      </c>
    </row>
    <row r="510" spans="1:4" x14ac:dyDescent="0.2">
      <c r="A510" t="s">
        <v>1427</v>
      </c>
      <c r="B510" t="s">
        <v>1455</v>
      </c>
      <c r="C510" s="1">
        <v>25.8607563829787</v>
      </c>
      <c r="D510" s="1">
        <v>84.036519787233999</v>
      </c>
    </row>
    <row r="511" spans="1:4" x14ac:dyDescent="0.2">
      <c r="A511" t="s">
        <v>1427</v>
      </c>
      <c r="B511" t="s">
        <v>1458</v>
      </c>
      <c r="C511" s="1">
        <v>27.449076537911299</v>
      </c>
      <c r="D511" s="1">
        <v>82.471583261802493</v>
      </c>
    </row>
    <row r="512" spans="1:4" x14ac:dyDescent="0.2">
      <c r="A512" t="s">
        <v>1427</v>
      </c>
      <c r="B512" t="s">
        <v>1461</v>
      </c>
      <c r="C512" s="1">
        <v>25.351885902503199</v>
      </c>
      <c r="D512" s="1">
        <v>80.524873913043393</v>
      </c>
    </row>
    <row r="513" spans="1:4" x14ac:dyDescent="0.2">
      <c r="A513" t="s">
        <v>1427</v>
      </c>
      <c r="B513" t="s">
        <v>1464</v>
      </c>
      <c r="C513" s="1">
        <v>26.922777025232399</v>
      </c>
      <c r="D513" s="1">
        <v>81.357623505975994</v>
      </c>
    </row>
    <row r="514" spans="1:4" x14ac:dyDescent="0.2">
      <c r="A514" t="s">
        <v>1427</v>
      </c>
      <c r="B514" t="s">
        <v>1467</v>
      </c>
      <c r="C514" s="1">
        <v>28.5110194078947</v>
      </c>
      <c r="D514" s="1">
        <v>79.431870723684099</v>
      </c>
    </row>
    <row r="515" spans="1:4" x14ac:dyDescent="0.2">
      <c r="A515" t="s">
        <v>1427</v>
      </c>
      <c r="B515" t="s">
        <v>1470</v>
      </c>
      <c r="C515" s="1">
        <v>26.833880454545401</v>
      </c>
      <c r="D515" s="1">
        <v>82.697905909090906</v>
      </c>
    </row>
    <row r="516" spans="1:4" x14ac:dyDescent="0.2">
      <c r="A516" t="s">
        <v>1427</v>
      </c>
      <c r="B516" t="s">
        <v>1473</v>
      </c>
      <c r="C516" s="1">
        <v>29.313974259681</v>
      </c>
      <c r="D516" s="1">
        <v>78.450988154897502</v>
      </c>
    </row>
    <row r="517" spans="1:4" x14ac:dyDescent="0.2">
      <c r="A517" t="s">
        <v>1427</v>
      </c>
      <c r="B517" t="s">
        <v>1476</v>
      </c>
      <c r="C517" s="1">
        <v>28.348758620689601</v>
      </c>
      <c r="D517" s="1">
        <v>78.010827586206801</v>
      </c>
    </row>
    <row r="518" spans="1:4" x14ac:dyDescent="0.2">
      <c r="A518" t="s">
        <v>1427</v>
      </c>
      <c r="B518" t="s">
        <v>1479</v>
      </c>
      <c r="C518" s="18">
        <v>25.1180859611231</v>
      </c>
      <c r="D518" s="1">
        <v>83.253070626349796</v>
      </c>
    </row>
    <row r="519" spans="1:4" x14ac:dyDescent="0.2">
      <c r="A519" t="s">
        <v>1427</v>
      </c>
      <c r="B519" t="s">
        <v>1481</v>
      </c>
      <c r="C519" s="18">
        <v>25.159924623803001</v>
      </c>
      <c r="D519" s="1">
        <v>81.0766608755129</v>
      </c>
    </row>
    <row r="520" spans="1:4" x14ac:dyDescent="0.2">
      <c r="A520" t="s">
        <v>1427</v>
      </c>
      <c r="B520" t="s">
        <v>1483</v>
      </c>
      <c r="C520" s="1">
        <v>26.422188565488501</v>
      </c>
      <c r="D520" s="18">
        <v>83.824407068607101</v>
      </c>
    </row>
    <row r="521" spans="1:4" x14ac:dyDescent="0.2">
      <c r="A521" t="s">
        <v>1427</v>
      </c>
      <c r="B521" t="s">
        <v>1485</v>
      </c>
      <c r="C521" s="1">
        <v>27.5911553097344</v>
      </c>
      <c r="D521" s="1">
        <v>78.700218584070797</v>
      </c>
    </row>
    <row r="522" spans="1:4" x14ac:dyDescent="0.2">
      <c r="A522" t="s">
        <v>1427</v>
      </c>
      <c r="B522" t="s">
        <v>1488</v>
      </c>
      <c r="C522" s="1">
        <v>26.788176701570599</v>
      </c>
      <c r="D522" s="1">
        <v>79.076218062827195</v>
      </c>
    </row>
    <row r="523" spans="1:4" x14ac:dyDescent="0.2">
      <c r="A523" t="s">
        <v>1427</v>
      </c>
      <c r="B523" t="s">
        <v>1491</v>
      </c>
      <c r="C523" s="1">
        <v>26.605891851851801</v>
      </c>
      <c r="D523" s="1">
        <v>82.007835308642001</v>
      </c>
    </row>
    <row r="524" spans="1:4" x14ac:dyDescent="0.2">
      <c r="A524" t="s">
        <v>1427</v>
      </c>
      <c r="B524" t="s">
        <v>1494</v>
      </c>
      <c r="C524" s="1">
        <v>27.450632978723402</v>
      </c>
      <c r="D524" s="18">
        <v>79.440628457446806</v>
      </c>
    </row>
    <row r="525" spans="1:4" x14ac:dyDescent="0.2">
      <c r="A525" t="s">
        <v>1427</v>
      </c>
      <c r="B525" t="s">
        <v>1496</v>
      </c>
      <c r="C525" s="18">
        <v>25.837436203090501</v>
      </c>
      <c r="D525" s="1">
        <v>80.854162030905002</v>
      </c>
    </row>
    <row r="526" spans="1:4" x14ac:dyDescent="0.2">
      <c r="A526" t="s">
        <v>1427</v>
      </c>
      <c r="B526" t="s">
        <v>1498</v>
      </c>
      <c r="C526" s="1">
        <v>27.2096399305555</v>
      </c>
      <c r="D526" s="1">
        <v>78.426606249999907</v>
      </c>
    </row>
    <row r="527" spans="1:4" x14ac:dyDescent="0.2">
      <c r="A527" t="s">
        <v>1427</v>
      </c>
      <c r="B527" t="s">
        <v>1501</v>
      </c>
      <c r="C527" s="1">
        <v>28.393311038960999</v>
      </c>
      <c r="D527" s="1">
        <v>77.524624675324603</v>
      </c>
    </row>
    <row r="528" spans="1:4" x14ac:dyDescent="0.2">
      <c r="A528" t="s">
        <v>1427</v>
      </c>
      <c r="B528" t="s">
        <v>1504</v>
      </c>
      <c r="C528" s="1">
        <v>28.749973085846801</v>
      </c>
      <c r="D528" s="1">
        <v>77.674418793503406</v>
      </c>
    </row>
    <row r="529" spans="1:4" x14ac:dyDescent="0.2">
      <c r="A529" t="s">
        <v>1427</v>
      </c>
      <c r="B529" t="s">
        <v>1507</v>
      </c>
      <c r="C529" s="1">
        <v>25.624724775583399</v>
      </c>
      <c r="D529" s="18">
        <v>83.536085457809705</v>
      </c>
    </row>
    <row r="530" spans="1:4" x14ac:dyDescent="0.2">
      <c r="A530" t="s">
        <v>1427</v>
      </c>
      <c r="B530" t="s">
        <v>1509</v>
      </c>
      <c r="C530" s="1">
        <v>27.157215552099501</v>
      </c>
      <c r="D530" s="18">
        <v>82.022688802488204</v>
      </c>
    </row>
    <row r="531" spans="1:4" x14ac:dyDescent="0.2">
      <c r="A531" t="s">
        <v>1427</v>
      </c>
      <c r="B531" t="s">
        <v>1511</v>
      </c>
      <c r="C531" s="1">
        <v>26.6331588679245</v>
      </c>
      <c r="D531" s="18">
        <v>83.354956037735803</v>
      </c>
    </row>
    <row r="532" spans="1:4" x14ac:dyDescent="0.2">
      <c r="A532" t="s">
        <v>1427</v>
      </c>
      <c r="B532" t="s">
        <v>494</v>
      </c>
      <c r="C532" s="1">
        <v>25.738158381502799</v>
      </c>
      <c r="D532" s="1">
        <v>79.826194797687805</v>
      </c>
    </row>
    <row r="533" spans="1:4" x14ac:dyDescent="0.2">
      <c r="A533" t="s">
        <v>1427</v>
      </c>
      <c r="B533" t="s">
        <v>1515</v>
      </c>
      <c r="C533" s="1">
        <v>27.337409090909102</v>
      </c>
      <c r="D533" s="1">
        <v>80.264117676767597</v>
      </c>
    </row>
    <row r="534" spans="1:4" x14ac:dyDescent="0.2">
      <c r="A534" t="s">
        <v>1427</v>
      </c>
      <c r="B534" t="s">
        <v>1518</v>
      </c>
      <c r="C534" s="1">
        <v>27.578146612466099</v>
      </c>
      <c r="D534" s="1">
        <v>78.182510840108407</v>
      </c>
    </row>
    <row r="535" spans="1:4" x14ac:dyDescent="0.2">
      <c r="A535" t="s">
        <v>1427</v>
      </c>
      <c r="B535" t="s">
        <v>1521</v>
      </c>
      <c r="C535" s="1">
        <v>26.067954587155899</v>
      </c>
      <c r="D535" s="1">
        <v>79.366869113149903</v>
      </c>
    </row>
    <row r="536" spans="1:4" x14ac:dyDescent="0.2">
      <c r="A536" t="s">
        <v>1427</v>
      </c>
      <c r="B536" t="s">
        <v>1524</v>
      </c>
      <c r="C536" s="1">
        <v>25.701412809131199</v>
      </c>
      <c r="D536" s="1">
        <v>82.543153519340606</v>
      </c>
    </row>
    <row r="537" spans="1:4" x14ac:dyDescent="0.2">
      <c r="A537" t="s">
        <v>1427</v>
      </c>
      <c r="B537" t="s">
        <v>1527</v>
      </c>
      <c r="C537" s="1">
        <v>25.455815352348999</v>
      </c>
      <c r="D537" s="1">
        <v>78.899545805369101</v>
      </c>
    </row>
    <row r="538" spans="1:4" x14ac:dyDescent="0.2">
      <c r="A538" t="s">
        <v>1427</v>
      </c>
      <c r="B538" t="s">
        <v>1530</v>
      </c>
      <c r="C538" s="1">
        <v>28.870498984771501</v>
      </c>
      <c r="D538" s="1">
        <v>78.390093654822394</v>
      </c>
    </row>
    <row r="539" spans="1:4" x14ac:dyDescent="0.2">
      <c r="A539" t="s">
        <v>1427</v>
      </c>
      <c r="B539" t="s">
        <v>1533</v>
      </c>
      <c r="C539" s="1">
        <v>26.993988617886099</v>
      </c>
      <c r="D539" s="1">
        <v>79.644379403794005</v>
      </c>
    </row>
    <row r="540" spans="1:4" x14ac:dyDescent="0.2">
      <c r="A540" t="s">
        <v>1427</v>
      </c>
      <c r="B540" t="s">
        <v>1536</v>
      </c>
      <c r="C540" s="1">
        <v>26.4304764119601</v>
      </c>
      <c r="D540" s="1">
        <v>79.9871008305647</v>
      </c>
    </row>
    <row r="541" spans="1:4" x14ac:dyDescent="0.2">
      <c r="A541" t="s">
        <v>1427</v>
      </c>
      <c r="B541" t="s">
        <v>1539</v>
      </c>
      <c r="C541" s="18">
        <v>26.370469354838701</v>
      </c>
      <c r="D541" s="1">
        <v>80.292515725806496</v>
      </c>
    </row>
    <row r="542" spans="1:4" x14ac:dyDescent="0.2">
      <c r="A542" t="s">
        <v>1427</v>
      </c>
      <c r="B542" t="s">
        <v>1541</v>
      </c>
      <c r="C542" s="1">
        <v>25.535875320512801</v>
      </c>
      <c r="D542" s="1">
        <v>81.418112820512803</v>
      </c>
    </row>
    <row r="543" spans="1:4" x14ac:dyDescent="0.2">
      <c r="A543" t="s">
        <v>1427</v>
      </c>
      <c r="B543" t="s">
        <v>1544</v>
      </c>
      <c r="C543" s="1">
        <v>26.8925306759098</v>
      </c>
      <c r="D543" s="1">
        <v>83.922615424610001</v>
      </c>
    </row>
    <row r="544" spans="1:4" x14ac:dyDescent="0.2">
      <c r="A544" t="s">
        <v>1427</v>
      </c>
      <c r="B544" t="s">
        <v>1547</v>
      </c>
      <c r="C544" s="1">
        <v>28.091854006243398</v>
      </c>
      <c r="D544" s="1">
        <v>80.6473246618107</v>
      </c>
    </row>
    <row r="545" spans="1:4" x14ac:dyDescent="0.2">
      <c r="A545" t="s">
        <v>1427</v>
      </c>
      <c r="B545" t="s">
        <v>1550</v>
      </c>
      <c r="C545" s="1">
        <v>24.588771610169399</v>
      </c>
      <c r="D545" s="1">
        <v>78.600823305084702</v>
      </c>
    </row>
    <row r="546" spans="1:4" x14ac:dyDescent="0.2">
      <c r="A546" t="s">
        <v>1427</v>
      </c>
      <c r="B546" t="s">
        <v>1553</v>
      </c>
      <c r="C546" s="1">
        <v>26.838233589251399</v>
      </c>
      <c r="D546" s="1">
        <v>80.897060268714</v>
      </c>
    </row>
    <row r="547" spans="1:4" x14ac:dyDescent="0.2">
      <c r="A547" t="s">
        <v>1427</v>
      </c>
      <c r="B547" t="s">
        <v>1556</v>
      </c>
      <c r="C547" s="1">
        <v>27.177099107142801</v>
      </c>
      <c r="D547" s="1">
        <v>83.461278571428593</v>
      </c>
    </row>
    <row r="548" spans="1:4" x14ac:dyDescent="0.2">
      <c r="A548" t="s">
        <v>1427</v>
      </c>
      <c r="B548" t="s">
        <v>1559</v>
      </c>
      <c r="C548" s="1">
        <v>25.345296701388801</v>
      </c>
      <c r="D548" s="1">
        <v>79.678630034722104</v>
      </c>
    </row>
    <row r="549" spans="1:4" x14ac:dyDescent="0.2">
      <c r="A549" t="s">
        <v>1427</v>
      </c>
      <c r="B549" t="s">
        <v>1562</v>
      </c>
      <c r="C549" s="1">
        <v>27.173868623024799</v>
      </c>
      <c r="D549" s="1">
        <v>79.035018510157997</v>
      </c>
    </row>
    <row r="550" spans="1:4" x14ac:dyDescent="0.2">
      <c r="A550" t="s">
        <v>1427</v>
      </c>
      <c r="B550" t="s">
        <v>1565</v>
      </c>
      <c r="C550" s="1">
        <v>27.593904328018201</v>
      </c>
      <c r="D550" s="1">
        <v>77.621534168565006</v>
      </c>
    </row>
    <row r="551" spans="1:4" x14ac:dyDescent="0.2">
      <c r="A551" t="s">
        <v>1427</v>
      </c>
      <c r="B551" t="s">
        <v>1568</v>
      </c>
      <c r="C551" s="1">
        <v>26.0108220379146</v>
      </c>
      <c r="D551" s="1">
        <v>83.505826540284303</v>
      </c>
    </row>
    <row r="552" spans="1:4" x14ac:dyDescent="0.2">
      <c r="A552" t="s">
        <v>1427</v>
      </c>
      <c r="B552" t="s">
        <v>1571</v>
      </c>
      <c r="C552" s="1">
        <v>29.029576256983201</v>
      </c>
      <c r="D552" s="1">
        <v>77.806110055865901</v>
      </c>
    </row>
    <row r="553" spans="1:4" x14ac:dyDescent="0.2">
      <c r="A553" t="s">
        <v>1427</v>
      </c>
      <c r="B553" t="s">
        <v>1574</v>
      </c>
      <c r="C553" s="1">
        <v>25.102079591836699</v>
      </c>
      <c r="D553" s="1">
        <v>82.601266285714203</v>
      </c>
    </row>
    <row r="554" spans="1:4" x14ac:dyDescent="0.2">
      <c r="A554" t="s">
        <v>1427</v>
      </c>
      <c r="B554" t="s">
        <v>1577</v>
      </c>
      <c r="C554" s="1">
        <v>28.851770406189502</v>
      </c>
      <c r="D554" s="1">
        <v>78.735801934235894</v>
      </c>
    </row>
    <row r="555" spans="1:4" x14ac:dyDescent="0.2">
      <c r="A555" t="s">
        <v>1427</v>
      </c>
      <c r="B555" t="s">
        <v>1580</v>
      </c>
      <c r="C555" s="1">
        <v>29.470507977736499</v>
      </c>
      <c r="D555" s="1">
        <v>77.640178478664197</v>
      </c>
    </row>
    <row r="556" spans="1:4" x14ac:dyDescent="0.2">
      <c r="A556" t="s">
        <v>1427</v>
      </c>
      <c r="B556" t="s">
        <v>1583</v>
      </c>
      <c r="C556" s="1">
        <v>28.520241750358601</v>
      </c>
      <c r="D556" s="1">
        <v>79.901039741750296</v>
      </c>
    </row>
    <row r="557" spans="1:4" x14ac:dyDescent="0.2">
      <c r="A557" t="s">
        <v>1427</v>
      </c>
      <c r="B557" t="s">
        <v>1586</v>
      </c>
      <c r="C557" s="1">
        <v>25.864842731707299</v>
      </c>
      <c r="D557" s="1">
        <v>81.935300487804895</v>
      </c>
    </row>
    <row r="558" spans="1:4" x14ac:dyDescent="0.2">
      <c r="A558" t="s">
        <v>1427</v>
      </c>
      <c r="B558" t="s">
        <v>1589</v>
      </c>
      <c r="C558" s="1">
        <v>26.253902840059698</v>
      </c>
      <c r="D558" s="1">
        <v>81.222604633781799</v>
      </c>
    </row>
    <row r="559" spans="1:4" x14ac:dyDescent="0.2">
      <c r="A559" t="s">
        <v>1427</v>
      </c>
      <c r="B559" t="s">
        <v>1592</v>
      </c>
      <c r="C559" s="1">
        <v>28.832447272727201</v>
      </c>
      <c r="D559" s="1">
        <v>79.109773333333294</v>
      </c>
    </row>
    <row r="560" spans="1:4" x14ac:dyDescent="0.2">
      <c r="A560" t="s">
        <v>1427</v>
      </c>
      <c r="B560" t="s">
        <v>1595</v>
      </c>
      <c r="C560" s="1">
        <v>30.033811652173899</v>
      </c>
      <c r="D560" s="1">
        <v>77.599051478260904</v>
      </c>
    </row>
    <row r="561" spans="1:4" x14ac:dyDescent="0.2">
      <c r="A561" t="s">
        <v>1427</v>
      </c>
      <c r="B561" t="s">
        <v>1598</v>
      </c>
      <c r="C561" s="1">
        <v>26.791596516393401</v>
      </c>
      <c r="D561" s="18">
        <v>83.038776434426197</v>
      </c>
    </row>
    <row r="562" spans="1:4" x14ac:dyDescent="0.2">
      <c r="A562" t="s">
        <v>1427</v>
      </c>
      <c r="B562" t="s">
        <v>1600</v>
      </c>
      <c r="C562" s="1">
        <v>25.3645787430684</v>
      </c>
      <c r="D562" s="1">
        <v>82.434949907578499</v>
      </c>
    </row>
    <row r="563" spans="1:4" x14ac:dyDescent="0.2">
      <c r="A563" t="s">
        <v>1427</v>
      </c>
      <c r="B563" t="s">
        <v>1603</v>
      </c>
      <c r="C563" s="1">
        <v>27.9913893506493</v>
      </c>
      <c r="D563" s="18">
        <v>79.830227532467504</v>
      </c>
    </row>
    <row r="564" spans="1:4" x14ac:dyDescent="0.2">
      <c r="A564" t="s">
        <v>1427</v>
      </c>
      <c r="B564" t="s">
        <v>1605</v>
      </c>
      <c r="C564" s="1">
        <v>27.604917877094898</v>
      </c>
      <c r="D564" s="1">
        <v>81.793197765363104</v>
      </c>
    </row>
    <row r="565" spans="1:4" x14ac:dyDescent="0.2">
      <c r="A565" t="s">
        <v>1427</v>
      </c>
      <c r="B565" t="s">
        <v>1608</v>
      </c>
      <c r="C565" s="1">
        <v>27.207384839203701</v>
      </c>
      <c r="D565" s="1">
        <v>82.786649923430303</v>
      </c>
    </row>
    <row r="566" spans="1:4" x14ac:dyDescent="0.2">
      <c r="A566" t="s">
        <v>1427</v>
      </c>
      <c r="B566" t="s">
        <v>1611</v>
      </c>
      <c r="C566" s="1">
        <v>27.501995963091101</v>
      </c>
      <c r="D566" s="1">
        <v>80.852888811995399</v>
      </c>
    </row>
    <row r="567" spans="1:4" x14ac:dyDescent="0.2">
      <c r="A567" t="s">
        <v>1427</v>
      </c>
      <c r="B567" t="s">
        <v>1614</v>
      </c>
      <c r="C567" s="1">
        <v>24.466932688587899</v>
      </c>
      <c r="D567" s="1">
        <v>83.068163249516303</v>
      </c>
    </row>
    <row r="568" spans="1:4" x14ac:dyDescent="0.2">
      <c r="A568" t="s">
        <v>1427</v>
      </c>
      <c r="B568" t="s">
        <v>1617</v>
      </c>
      <c r="C568" s="18">
        <v>26.284638641975299</v>
      </c>
      <c r="D568" s="1">
        <v>82.057104567901206</v>
      </c>
    </row>
    <row r="569" spans="1:4" x14ac:dyDescent="0.2">
      <c r="A569" t="s">
        <v>1427</v>
      </c>
      <c r="B569" t="s">
        <v>1619</v>
      </c>
      <c r="C569" s="1">
        <v>26.631639908952899</v>
      </c>
      <c r="D569" s="18">
        <v>80.636773292868</v>
      </c>
    </row>
    <row r="570" spans="1:4" x14ac:dyDescent="0.2">
      <c r="A570" t="s">
        <v>1427</v>
      </c>
      <c r="B570" t="s">
        <v>1621</v>
      </c>
      <c r="C570" s="1">
        <v>25.360570888888802</v>
      </c>
      <c r="D570" s="1">
        <v>82.825296666666702</v>
      </c>
    </row>
    <row r="571" spans="1:4" x14ac:dyDescent="0.2">
      <c r="A571" t="s">
        <v>1624</v>
      </c>
      <c r="B571" t="s">
        <v>1625</v>
      </c>
      <c r="C571" s="1">
        <v>29.683532133676099</v>
      </c>
      <c r="D571" s="1">
        <v>79.501650642673496</v>
      </c>
    </row>
    <row r="572" spans="1:4" x14ac:dyDescent="0.2">
      <c r="A572" t="s">
        <v>1624</v>
      </c>
      <c r="B572" t="s">
        <v>1628</v>
      </c>
      <c r="C572" s="1">
        <v>29.987033933933901</v>
      </c>
      <c r="D572" s="1">
        <v>79.839543543543499</v>
      </c>
    </row>
    <row r="573" spans="1:4" x14ac:dyDescent="0.2">
      <c r="A573" t="s">
        <v>1624</v>
      </c>
      <c r="B573" t="s">
        <v>1631</v>
      </c>
      <c r="C573" s="1">
        <v>30.583386114649599</v>
      </c>
      <c r="D573" s="1">
        <v>79.562810955413994</v>
      </c>
    </row>
    <row r="574" spans="1:4" x14ac:dyDescent="0.2">
      <c r="A574" t="s">
        <v>1624</v>
      </c>
      <c r="B574" t="s">
        <v>1634</v>
      </c>
      <c r="C574" s="1">
        <v>29.291423939393901</v>
      </c>
      <c r="D574" s="1">
        <v>80.077202121212096</v>
      </c>
    </row>
    <row r="575" spans="1:4" x14ac:dyDescent="0.2">
      <c r="A575" t="s">
        <v>1624</v>
      </c>
      <c r="B575" t="s">
        <v>1637</v>
      </c>
      <c r="C575" s="1">
        <v>30.533333414932699</v>
      </c>
      <c r="D575" s="18">
        <v>77.908841248469997</v>
      </c>
    </row>
    <row r="576" spans="1:4" x14ac:dyDescent="0.2">
      <c r="A576" t="s">
        <v>1624</v>
      </c>
      <c r="B576" t="s">
        <v>1639</v>
      </c>
      <c r="C576" s="1">
        <v>29.886057657657599</v>
      </c>
      <c r="D576" s="1">
        <v>77.929800675675693</v>
      </c>
    </row>
    <row r="577" spans="1:4" x14ac:dyDescent="0.2">
      <c r="A577" t="s">
        <v>1624</v>
      </c>
      <c r="B577" t="s">
        <v>1642</v>
      </c>
      <c r="C577" s="1">
        <v>29.336370528967201</v>
      </c>
      <c r="D577" s="18">
        <v>79.499791183879097</v>
      </c>
    </row>
    <row r="578" spans="1:4" x14ac:dyDescent="0.2">
      <c r="A578" t="s">
        <v>1624</v>
      </c>
      <c r="B578" t="s">
        <v>1644</v>
      </c>
      <c r="C578" s="1">
        <v>29.978067551020398</v>
      </c>
      <c r="D578" s="1">
        <v>78.774501632653099</v>
      </c>
    </row>
    <row r="579" spans="1:4" x14ac:dyDescent="0.2">
      <c r="A579" t="s">
        <v>1624</v>
      </c>
      <c r="B579" t="s">
        <v>1647</v>
      </c>
      <c r="C579" s="1">
        <v>30.147206318681199</v>
      </c>
      <c r="D579" s="1">
        <v>80.342292307692304</v>
      </c>
    </row>
    <row r="580" spans="1:4" x14ac:dyDescent="0.2">
      <c r="A580" t="s">
        <v>1624</v>
      </c>
      <c r="B580" t="s">
        <v>1650</v>
      </c>
      <c r="C580" s="1">
        <v>30.5565775590551</v>
      </c>
      <c r="D580" s="1">
        <v>79.094220472440895</v>
      </c>
    </row>
    <row r="581" spans="1:4" x14ac:dyDescent="0.2">
      <c r="A581" t="s">
        <v>1624</v>
      </c>
      <c r="B581" t="s">
        <v>1653</v>
      </c>
      <c r="C581" s="1">
        <v>30.463700918635102</v>
      </c>
      <c r="D581" s="1">
        <v>78.487837926509101</v>
      </c>
    </row>
    <row r="582" spans="1:4" x14ac:dyDescent="0.2">
      <c r="A582" t="s">
        <v>1624</v>
      </c>
      <c r="B582" t="s">
        <v>1656</v>
      </c>
      <c r="C582" s="1">
        <v>29.027795776772201</v>
      </c>
      <c r="D582" s="1">
        <v>79.456290045248906</v>
      </c>
    </row>
    <row r="583" spans="1:4" x14ac:dyDescent="0.2">
      <c r="A583" t="s">
        <v>1624</v>
      </c>
      <c r="B583" t="s">
        <v>1659</v>
      </c>
      <c r="C583" s="1">
        <v>30.968958552036199</v>
      </c>
      <c r="D583" s="1">
        <v>78.568806153846097</v>
      </c>
    </row>
    <row r="584" spans="1:4" x14ac:dyDescent="0.2">
      <c r="A584" t="s">
        <v>1662</v>
      </c>
      <c r="B584" t="s">
        <v>1663</v>
      </c>
      <c r="C584" s="1">
        <v>23.081280892857102</v>
      </c>
      <c r="D584" s="1">
        <v>87.126400535714296</v>
      </c>
    </row>
    <row r="585" spans="1:4" x14ac:dyDescent="0.2">
      <c r="A585" t="s">
        <v>1662</v>
      </c>
      <c r="B585" t="s">
        <v>1666</v>
      </c>
      <c r="C585" s="1">
        <v>23.444453888888798</v>
      </c>
      <c r="D585" s="18">
        <v>87.815058111111099</v>
      </c>
    </row>
    <row r="586" spans="1:4" x14ac:dyDescent="0.2">
      <c r="A586" t="s">
        <v>1662</v>
      </c>
      <c r="B586" t="s">
        <v>1668</v>
      </c>
      <c r="C586" s="18">
        <v>24.063893427229999</v>
      </c>
      <c r="D586" s="1">
        <v>87.651530892018798</v>
      </c>
    </row>
    <row r="587" spans="1:4" x14ac:dyDescent="0.2">
      <c r="A587" t="s">
        <v>1662</v>
      </c>
      <c r="B587" t="s">
        <v>1670</v>
      </c>
      <c r="C587" s="1">
        <v>25.342094363021399</v>
      </c>
      <c r="D587" s="1">
        <v>88.6982167981961</v>
      </c>
    </row>
    <row r="588" spans="1:4" x14ac:dyDescent="0.2">
      <c r="A588" t="s">
        <v>1662</v>
      </c>
      <c r="B588" t="s">
        <v>1673</v>
      </c>
      <c r="C588" s="1">
        <v>26.8396195710455</v>
      </c>
      <c r="D588" s="1">
        <v>88.331450670241196</v>
      </c>
    </row>
    <row r="589" spans="1:4" x14ac:dyDescent="0.2">
      <c r="A589" t="s">
        <v>1662</v>
      </c>
      <c r="B589" t="s">
        <v>1676</v>
      </c>
      <c r="C589" s="1">
        <v>21.991997254809899</v>
      </c>
      <c r="D589" s="18">
        <v>87.922808259033403</v>
      </c>
    </row>
    <row r="590" spans="1:4" x14ac:dyDescent="0.2">
      <c r="A590" t="s">
        <v>1662</v>
      </c>
      <c r="B590" t="s">
        <v>1678</v>
      </c>
      <c r="C590" s="1">
        <v>22.4016741744285</v>
      </c>
      <c r="D590" s="1">
        <v>87.994211769686501</v>
      </c>
    </row>
    <row r="591" spans="1:4" x14ac:dyDescent="0.2">
      <c r="A591" t="s">
        <v>1662</v>
      </c>
      <c r="B591" t="s">
        <v>1681</v>
      </c>
      <c r="C591" s="1">
        <v>22.879292647058801</v>
      </c>
      <c r="D591" s="1">
        <v>88.000102647058895</v>
      </c>
    </row>
    <row r="592" spans="1:4" x14ac:dyDescent="0.2">
      <c r="A592" t="s">
        <v>1662</v>
      </c>
      <c r="B592" t="s">
        <v>1684</v>
      </c>
      <c r="C592" s="1">
        <v>26.626420312499999</v>
      </c>
      <c r="D592" s="1">
        <v>89.041543750000002</v>
      </c>
    </row>
    <row r="593" spans="1:4" x14ac:dyDescent="0.2">
      <c r="A593" t="s">
        <v>1662</v>
      </c>
      <c r="B593" t="s">
        <v>1687</v>
      </c>
      <c r="C593" s="1">
        <v>26.250516110304702</v>
      </c>
      <c r="D593" s="1">
        <v>89.3061382680214</v>
      </c>
    </row>
    <row r="594" spans="1:4" x14ac:dyDescent="0.2">
      <c r="A594" t="s">
        <v>1662</v>
      </c>
      <c r="B594" t="s">
        <v>1690</v>
      </c>
      <c r="C594" s="1">
        <v>22.550581481481402</v>
      </c>
      <c r="D594" s="18">
        <v>88.352764814814805</v>
      </c>
    </row>
    <row r="595" spans="1:4" x14ac:dyDescent="0.2">
      <c r="A595" t="s">
        <v>1662</v>
      </c>
      <c r="B595" t="s">
        <v>1692</v>
      </c>
      <c r="C595" s="1">
        <v>25.080268025751</v>
      </c>
      <c r="D595" s="1">
        <v>88.171916845493499</v>
      </c>
    </row>
    <row r="596" spans="1:4" x14ac:dyDescent="0.2">
      <c r="A596" t="s">
        <v>1662</v>
      </c>
      <c r="B596" t="s">
        <v>1695</v>
      </c>
      <c r="C596" s="1">
        <v>24.259506553911201</v>
      </c>
      <c r="D596" s="1">
        <v>88.1681686046512</v>
      </c>
    </row>
    <row r="597" spans="1:4" x14ac:dyDescent="0.2">
      <c r="A597" t="s">
        <v>1662</v>
      </c>
      <c r="B597" t="s">
        <v>1698</v>
      </c>
      <c r="C597" s="1">
        <v>23.564109710550799</v>
      </c>
      <c r="D597" s="1">
        <v>88.582930345471496</v>
      </c>
    </row>
    <row r="598" spans="1:4" x14ac:dyDescent="0.2">
      <c r="A598" t="s">
        <v>1662</v>
      </c>
      <c r="B598" t="s">
        <v>1701</v>
      </c>
      <c r="C598" s="1">
        <v>22.062388450676799</v>
      </c>
      <c r="D598" s="1">
        <v>88.877939608023397</v>
      </c>
    </row>
    <row r="599" spans="1:4" x14ac:dyDescent="0.2">
      <c r="A599" t="s">
        <v>1662</v>
      </c>
      <c r="B599" t="s">
        <v>1704</v>
      </c>
      <c r="C599" s="1">
        <v>23.2541923287671</v>
      </c>
      <c r="D599" s="18">
        <v>86.396853287671306</v>
      </c>
    </row>
    <row r="600" spans="1:4" x14ac:dyDescent="0.2">
      <c r="A600" t="s">
        <v>1662</v>
      </c>
      <c r="B600" t="s">
        <v>1706</v>
      </c>
      <c r="C600" s="1">
        <v>21.854427507265999</v>
      </c>
      <c r="D600" s="1">
        <v>88.445369708277696</v>
      </c>
    </row>
    <row r="601" spans="1:4" x14ac:dyDescent="0.2">
      <c r="A601" t="s">
        <v>1662</v>
      </c>
      <c r="B601" t="s">
        <v>1709</v>
      </c>
      <c r="C601" s="1">
        <v>26.044619165196899</v>
      </c>
      <c r="D601" s="1">
        <v>88.2359523221633</v>
      </c>
    </row>
    <row r="602" spans="1:4" x14ac:dyDescent="0.2">
      <c r="A602" t="s">
        <v>1662</v>
      </c>
      <c r="B602" t="s">
        <v>1712</v>
      </c>
      <c r="C602" s="1">
        <v>22.3548969196919</v>
      </c>
      <c r="D602" s="1">
        <v>87.231014411441194</v>
      </c>
    </row>
  </sheetData>
  <mergeCells count="1">
    <mergeCell ref="A1:B1"/>
  </mergeCells>
  <conditionalFormatting sqref="A9:D602">
    <cfRule type="expression" dxfId="0" priority="1">
      <formula>AND($C9&gt;=$B$2, $C9&lt;=$B$3, $D9&gt;=$B$4, $D9&lt;=$B$5)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76B67B07-9614-3C46-9F4E-8F46AFA955A3}">
          <xm:f>'select by location'!$B$8:$D$602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9F71-EE39-B74B-9FAC-446C17DA1955}">
  <dimension ref="A1:L595"/>
  <sheetViews>
    <sheetView topLeftCell="E1" workbookViewId="0">
      <selection activeCell="K20" sqref="K20"/>
    </sheetView>
  </sheetViews>
  <sheetFormatPr baseColWidth="10" defaultColWidth="8.83203125" defaultRowHeight="16" x14ac:dyDescent="0.2"/>
  <cols>
    <col min="1" max="1" width="23.1640625" customWidth="1"/>
    <col min="2" max="2" width="18.33203125" customWidth="1"/>
    <col min="3" max="3" width="17.1640625" customWidth="1"/>
    <col min="4" max="4" width="13.5" customWidth="1"/>
    <col min="5" max="5" width="12.5" customWidth="1"/>
    <col min="11" max="11" width="17" customWidth="1"/>
    <col min="12" max="12" width="10.5" customWidth="1"/>
  </cols>
  <sheetData>
    <row r="1" spans="1:12" s="6" customFormat="1" ht="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1744</v>
      </c>
    </row>
    <row r="2" spans="1:12" x14ac:dyDescent="0.2">
      <c r="A2" t="s">
        <v>4</v>
      </c>
      <c r="B2" t="s">
        <v>5</v>
      </c>
      <c r="C2">
        <v>12.382571069235</v>
      </c>
      <c r="D2">
        <v>92.822910506414999</v>
      </c>
      <c r="E2">
        <f>2*6371*ASIN(SQRT(
    SIN(RADIANS(C2-$L$4)/2)^2 +
    COS(RADIANS($L$4)) * COS(RADIANS(C2)) *
    SIN(RADIANS(D2-$L$5)/2)^2
))</f>
        <v>2396.9414853703365</v>
      </c>
      <c r="K2" s="51" t="s">
        <v>1746</v>
      </c>
      <c r="L2" s="51"/>
    </row>
    <row r="3" spans="1:12" x14ac:dyDescent="0.2">
      <c r="A3" t="s">
        <v>4</v>
      </c>
      <c r="B3" t="s">
        <v>8</v>
      </c>
      <c r="C3">
        <v>7.8352907497741899</v>
      </c>
      <c r="D3">
        <v>93.511601237578503</v>
      </c>
      <c r="E3">
        <f t="shared" ref="E3:E66" si="0">2*6371*ASIN(SQRT(
    SIN(RADIANS(C3-$L$4)/2)^2 +
    COS(RADIANS($L$4)) * COS(RADIANS(C3)) *
    SIN(RADIANS(D3-$L$5)/2)^2
))</f>
        <v>2799.2276851350443</v>
      </c>
      <c r="K3" s="9" t="s">
        <v>1745</v>
      </c>
      <c r="L3" s="9" t="s">
        <v>1725</v>
      </c>
    </row>
    <row r="4" spans="1:12" x14ac:dyDescent="0.2">
      <c r="A4" t="s">
        <v>11</v>
      </c>
      <c r="B4" t="s">
        <v>12</v>
      </c>
      <c r="C4">
        <v>19.2845139500734</v>
      </c>
      <c r="D4">
        <v>78.813212334801705</v>
      </c>
      <c r="E4">
        <f t="shared" si="0"/>
        <v>808.76743582965855</v>
      </c>
      <c r="K4" s="20" t="s">
        <v>2</v>
      </c>
      <c r="L4" s="20">
        <f>_xlfn.XLOOKUP(L3,B2:B595, C2:C595)</f>
        <v>25.451197677595601</v>
      </c>
    </row>
    <row r="5" spans="1:12" x14ac:dyDescent="0.2">
      <c r="A5" t="s">
        <v>11</v>
      </c>
      <c r="B5" t="s">
        <v>15</v>
      </c>
      <c r="C5">
        <v>14.312065561843101</v>
      </c>
      <c r="D5">
        <v>77.460158447857694</v>
      </c>
      <c r="E5">
        <f t="shared" si="0"/>
        <v>1273.0983157919613</v>
      </c>
      <c r="K5" s="20" t="s">
        <v>3</v>
      </c>
      <c r="L5" s="20">
        <f>_xlfn.XLOOKUP(L3,B2:B595, D2:D595)</f>
        <v>74.639475956284102</v>
      </c>
    </row>
    <row r="6" spans="1:12" x14ac:dyDescent="0.2">
      <c r="A6" t="s">
        <v>11</v>
      </c>
      <c r="B6" t="s">
        <v>17</v>
      </c>
      <c r="C6">
        <v>13.331092630676901</v>
      </c>
      <c r="D6">
        <v>78.927638988860295</v>
      </c>
      <c r="E6">
        <f t="shared" si="0"/>
        <v>1420.39754692825</v>
      </c>
      <c r="K6" s="29" t="s">
        <v>1746</v>
      </c>
      <c r="L6" s="29" t="str">
        <f>INDEX(B2:B595, MATCH(_xlfn.MINIFS(E2:E595, E2:E595, "&gt;0"), E2:E595,0))</f>
        <v>Rajsamand</v>
      </c>
    </row>
    <row r="7" spans="1:12" x14ac:dyDescent="0.2">
      <c r="A7" t="s">
        <v>11</v>
      </c>
      <c r="B7" t="s">
        <v>20</v>
      </c>
      <c r="C7">
        <v>14.4902891341256</v>
      </c>
      <c r="D7">
        <v>78.696138709677498</v>
      </c>
      <c r="E7">
        <f t="shared" si="0"/>
        <v>1290.1280223295871</v>
      </c>
    </row>
    <row r="8" spans="1:12" x14ac:dyDescent="0.2">
      <c r="A8" t="s">
        <v>11</v>
      </c>
      <c r="B8" t="s">
        <v>23</v>
      </c>
      <c r="C8">
        <v>16.782718320784898</v>
      </c>
      <c r="D8">
        <v>82.243207472051097</v>
      </c>
      <c r="E8">
        <f t="shared" si="0"/>
        <v>1244.7186618878343</v>
      </c>
    </row>
    <row r="9" spans="1:12" x14ac:dyDescent="0.2">
      <c r="A9" t="s">
        <v>11</v>
      </c>
      <c r="B9" t="s">
        <v>25</v>
      </c>
      <c r="C9">
        <v>15.884925767634799</v>
      </c>
      <c r="D9">
        <v>80.586576141078794</v>
      </c>
      <c r="E9">
        <f t="shared" si="0"/>
        <v>1230.0457223706599</v>
      </c>
    </row>
    <row r="10" spans="1:12" x14ac:dyDescent="0.2">
      <c r="A10" t="s">
        <v>11</v>
      </c>
      <c r="B10" t="s">
        <v>28</v>
      </c>
      <c r="C10">
        <v>17.389715555555501</v>
      </c>
      <c r="D10">
        <v>78.466688888888797</v>
      </c>
      <c r="E10">
        <f t="shared" si="0"/>
        <v>979.84202774706932</v>
      </c>
    </row>
    <row r="11" spans="1:12" x14ac:dyDescent="0.2">
      <c r="A11" t="s">
        <v>11</v>
      </c>
      <c r="B11" t="s">
        <v>31</v>
      </c>
      <c r="C11">
        <v>18.515483193277301</v>
      </c>
      <c r="D11">
        <v>79.437654285714103</v>
      </c>
      <c r="E11">
        <f t="shared" si="0"/>
        <v>916.01208731254451</v>
      </c>
    </row>
    <row r="12" spans="1:12" x14ac:dyDescent="0.2">
      <c r="A12" t="s">
        <v>11</v>
      </c>
      <c r="B12" t="s">
        <v>34</v>
      </c>
      <c r="C12">
        <v>17.683921325051699</v>
      </c>
      <c r="D12">
        <v>80.670086438923306</v>
      </c>
      <c r="E12">
        <f t="shared" si="0"/>
        <v>1064.8603410256426</v>
      </c>
    </row>
    <row r="13" spans="1:12" x14ac:dyDescent="0.2">
      <c r="A13" t="s">
        <v>11</v>
      </c>
      <c r="B13" t="s">
        <v>37</v>
      </c>
      <c r="C13">
        <v>16.143872753151602</v>
      </c>
      <c r="D13">
        <v>81.148050610004105</v>
      </c>
      <c r="E13">
        <f t="shared" si="0"/>
        <v>1235.8424903273049</v>
      </c>
    </row>
    <row r="14" spans="1:12" x14ac:dyDescent="0.2">
      <c r="A14" t="s">
        <v>11</v>
      </c>
      <c r="B14" t="s">
        <v>40</v>
      </c>
      <c r="C14">
        <v>15.4375971514242</v>
      </c>
      <c r="D14">
        <v>77.900868365817104</v>
      </c>
      <c r="E14">
        <f t="shared" si="0"/>
        <v>1163.9781345826773</v>
      </c>
    </row>
    <row r="15" spans="1:12" x14ac:dyDescent="0.2">
      <c r="A15" t="s">
        <v>11</v>
      </c>
      <c r="B15" t="s">
        <v>43</v>
      </c>
      <c r="C15">
        <v>16.6395462242562</v>
      </c>
      <c r="D15">
        <v>77.989330892448507</v>
      </c>
      <c r="E15">
        <f t="shared" si="0"/>
        <v>1039.487717047185</v>
      </c>
    </row>
    <row r="16" spans="1:12" x14ac:dyDescent="0.2">
      <c r="A16" t="s">
        <v>11</v>
      </c>
      <c r="B16" t="s">
        <v>46</v>
      </c>
      <c r="C16">
        <v>17.889304978037998</v>
      </c>
      <c r="D16">
        <v>78.137789019033704</v>
      </c>
      <c r="E16">
        <f t="shared" si="0"/>
        <v>915.10512369805485</v>
      </c>
    </row>
    <row r="17" spans="1:5" x14ac:dyDescent="0.2">
      <c r="A17" t="s">
        <v>11</v>
      </c>
      <c r="B17" t="s">
        <v>49</v>
      </c>
      <c r="C17">
        <v>17.1132505154639</v>
      </c>
      <c r="D17">
        <v>79.169844536082394</v>
      </c>
      <c r="E17">
        <f t="shared" si="0"/>
        <v>1038.9122173358717</v>
      </c>
    </row>
    <row r="18" spans="1:5" x14ac:dyDescent="0.2">
      <c r="A18" t="s">
        <v>11</v>
      </c>
      <c r="B18" t="s">
        <v>52</v>
      </c>
      <c r="C18">
        <v>13.8943440714218</v>
      </c>
      <c r="D18">
        <v>80.147026718124906</v>
      </c>
      <c r="E18">
        <f t="shared" si="0"/>
        <v>1407.9559770020428</v>
      </c>
    </row>
    <row r="19" spans="1:5" x14ac:dyDescent="0.2">
      <c r="A19" t="s">
        <v>11</v>
      </c>
      <c r="B19" t="s">
        <v>55</v>
      </c>
      <c r="C19">
        <v>18.429485849056601</v>
      </c>
      <c r="D19">
        <v>78.075234905660295</v>
      </c>
      <c r="E19">
        <f t="shared" si="0"/>
        <v>857.29449960076249</v>
      </c>
    </row>
    <row r="20" spans="1:5" x14ac:dyDescent="0.2">
      <c r="A20" t="s">
        <v>11</v>
      </c>
      <c r="B20" t="s">
        <v>58</v>
      </c>
      <c r="C20">
        <v>15.4890390016017</v>
      </c>
      <c r="D20">
        <v>80.116657901761798</v>
      </c>
      <c r="E20">
        <f t="shared" si="0"/>
        <v>1245.5740176073018</v>
      </c>
    </row>
    <row r="21" spans="1:5" x14ac:dyDescent="0.2">
      <c r="A21" t="s">
        <v>11</v>
      </c>
      <c r="B21" t="s">
        <v>61</v>
      </c>
      <c r="C21">
        <v>17.245235872576099</v>
      </c>
      <c r="D21">
        <v>78.057568282548402</v>
      </c>
      <c r="E21">
        <f t="shared" si="0"/>
        <v>978.56073676536107</v>
      </c>
    </row>
    <row r="22" spans="1:5" x14ac:dyDescent="0.2">
      <c r="A22" t="s">
        <v>11</v>
      </c>
      <c r="B22" t="s">
        <v>64</v>
      </c>
      <c r="C22">
        <v>18.5709009986974</v>
      </c>
      <c r="D22">
        <v>84.258748140106704</v>
      </c>
      <c r="E22">
        <f t="shared" si="0"/>
        <v>1251.6360300497302</v>
      </c>
    </row>
    <row r="23" spans="1:5" x14ac:dyDescent="0.2">
      <c r="A23" t="s">
        <v>11</v>
      </c>
      <c r="B23" t="s">
        <v>67</v>
      </c>
      <c r="C23">
        <v>17.646839033989298</v>
      </c>
      <c r="D23">
        <v>83.010140357781694</v>
      </c>
      <c r="E23">
        <f t="shared" si="0"/>
        <v>1225.0182273056685</v>
      </c>
    </row>
    <row r="24" spans="1:5" x14ac:dyDescent="0.2">
      <c r="A24" t="s">
        <v>11</v>
      </c>
      <c r="B24" t="s">
        <v>69</v>
      </c>
      <c r="C24">
        <v>18.2832969603297</v>
      </c>
      <c r="D24">
        <v>83.459828541988699</v>
      </c>
      <c r="E24">
        <f t="shared" si="0"/>
        <v>1209.0968976552083</v>
      </c>
    </row>
    <row r="25" spans="1:5" x14ac:dyDescent="0.2">
      <c r="A25" t="s">
        <v>11</v>
      </c>
      <c r="B25" t="s">
        <v>72</v>
      </c>
      <c r="C25">
        <v>18.017526086956501</v>
      </c>
      <c r="D25">
        <v>79.874220289855003</v>
      </c>
      <c r="E25">
        <f t="shared" si="0"/>
        <v>987.40324335026799</v>
      </c>
    </row>
    <row r="26" spans="1:5" x14ac:dyDescent="0.2">
      <c r="A26" t="s">
        <v>11</v>
      </c>
      <c r="B26" t="s">
        <v>75</v>
      </c>
      <c r="C26">
        <v>16.632979439252299</v>
      </c>
      <c r="D26">
        <v>81.459129906541904</v>
      </c>
      <c r="E26">
        <f t="shared" si="0"/>
        <v>1208.6592914505582</v>
      </c>
    </row>
    <row r="27" spans="1:5" x14ac:dyDescent="0.2">
      <c r="A27" t="s">
        <v>78</v>
      </c>
      <c r="B27" t="s">
        <v>79</v>
      </c>
      <c r="C27">
        <v>27.360484793388402</v>
      </c>
      <c r="D27">
        <v>96.375526446281</v>
      </c>
      <c r="E27">
        <f t="shared" si="0"/>
        <v>2172.398077189328</v>
      </c>
    </row>
    <row r="28" spans="1:5" x14ac:dyDescent="0.2">
      <c r="A28" t="s">
        <v>78</v>
      </c>
      <c r="B28" t="s">
        <v>82</v>
      </c>
      <c r="C28">
        <v>27.371194055943999</v>
      </c>
      <c r="D28">
        <v>93.047414860139895</v>
      </c>
      <c r="E28">
        <f t="shared" si="0"/>
        <v>1843.9060832678481</v>
      </c>
    </row>
    <row r="29" spans="1:5" x14ac:dyDescent="0.2">
      <c r="A29" t="s">
        <v>78</v>
      </c>
      <c r="B29" t="s">
        <v>85</v>
      </c>
      <c r="C29">
        <v>28.153823529411699</v>
      </c>
      <c r="D29">
        <v>95.064992260061899</v>
      </c>
      <c r="E29">
        <f t="shared" si="0"/>
        <v>2046.8522466052937</v>
      </c>
    </row>
    <row r="30" spans="1:5" x14ac:dyDescent="0.2">
      <c r="A30" t="s">
        <v>78</v>
      </c>
      <c r="B30" t="s">
        <v>88</v>
      </c>
      <c r="C30">
        <v>28.048533518005499</v>
      </c>
      <c r="D30">
        <v>93.245319944598293</v>
      </c>
      <c r="E30">
        <f t="shared" si="0"/>
        <v>1867.9884242604574</v>
      </c>
    </row>
    <row r="31" spans="1:5" x14ac:dyDescent="0.2">
      <c r="A31" t="s">
        <v>78</v>
      </c>
      <c r="B31" t="s">
        <v>91</v>
      </c>
      <c r="C31">
        <v>27.946785273972601</v>
      </c>
      <c r="D31">
        <v>96.596707705479403</v>
      </c>
      <c r="E31">
        <f t="shared" si="0"/>
        <v>2195.7900306207698</v>
      </c>
    </row>
    <row r="32" spans="1:5" x14ac:dyDescent="0.2">
      <c r="A32" t="s">
        <v>78</v>
      </c>
      <c r="B32" t="s">
        <v>94</v>
      </c>
      <c r="C32">
        <v>28.326517301037999</v>
      </c>
      <c r="D32">
        <v>95.765673356401393</v>
      </c>
      <c r="E32">
        <f t="shared" si="0"/>
        <v>2116.5940883874741</v>
      </c>
    </row>
    <row r="33" spans="1:5" x14ac:dyDescent="0.2">
      <c r="A33" t="s">
        <v>78</v>
      </c>
      <c r="B33" t="s">
        <v>97</v>
      </c>
      <c r="C33">
        <v>27.708492972972898</v>
      </c>
      <c r="D33">
        <v>93.962261081081095</v>
      </c>
      <c r="E33">
        <f t="shared" si="0"/>
        <v>1935.7982059678975</v>
      </c>
    </row>
    <row r="34" spans="1:5" x14ac:dyDescent="0.2">
      <c r="A34" t="s">
        <v>78</v>
      </c>
      <c r="B34" t="s">
        <v>100</v>
      </c>
      <c r="C34">
        <v>27.273529716981098</v>
      </c>
      <c r="D34">
        <v>93.544681839622598</v>
      </c>
      <c r="E34">
        <f t="shared" si="0"/>
        <v>1892.5872104723976</v>
      </c>
    </row>
    <row r="35" spans="1:5" x14ac:dyDescent="0.2">
      <c r="A35" t="s">
        <v>78</v>
      </c>
      <c r="B35" t="s">
        <v>103</v>
      </c>
      <c r="C35">
        <v>27.680683962264101</v>
      </c>
      <c r="D35">
        <v>91.825042452830104</v>
      </c>
      <c r="E35">
        <f t="shared" si="0"/>
        <v>1725.6112031715397</v>
      </c>
    </row>
    <row r="36" spans="1:5" x14ac:dyDescent="0.2">
      <c r="A36" t="s">
        <v>78</v>
      </c>
      <c r="B36" t="s">
        <v>106</v>
      </c>
      <c r="C36">
        <v>26.944062295081899</v>
      </c>
      <c r="D36">
        <v>95.414703278688606</v>
      </c>
      <c r="E36">
        <f t="shared" si="0"/>
        <v>2077.1048757225262</v>
      </c>
    </row>
    <row r="37" spans="1:5" x14ac:dyDescent="0.2">
      <c r="A37" t="s">
        <v>78</v>
      </c>
      <c r="B37" t="s">
        <v>109</v>
      </c>
      <c r="C37">
        <v>29.0199478365384</v>
      </c>
      <c r="D37">
        <v>95.987763942307595</v>
      </c>
      <c r="E37">
        <f t="shared" si="0"/>
        <v>2144.4774312477384</v>
      </c>
    </row>
    <row r="38" spans="1:5" x14ac:dyDescent="0.2">
      <c r="A38" t="s">
        <v>78</v>
      </c>
      <c r="B38" t="s">
        <v>112</v>
      </c>
      <c r="C38">
        <v>28.830924489795901</v>
      </c>
      <c r="D38">
        <v>95.001557653061198</v>
      </c>
      <c r="E38">
        <f t="shared" si="0"/>
        <v>2046.887206622966</v>
      </c>
    </row>
    <row r="39" spans="1:5" x14ac:dyDescent="0.2">
      <c r="A39" t="s">
        <v>78</v>
      </c>
      <c r="B39" t="s">
        <v>114</v>
      </c>
      <c r="C39">
        <v>28.2771965665235</v>
      </c>
      <c r="D39">
        <v>93.899143562231799</v>
      </c>
      <c r="E39">
        <f t="shared" si="0"/>
        <v>1933.9617429579762</v>
      </c>
    </row>
    <row r="40" spans="1:5" x14ac:dyDescent="0.2">
      <c r="A40" t="s">
        <v>78</v>
      </c>
      <c r="B40" t="s">
        <v>117</v>
      </c>
      <c r="C40">
        <v>27.464865822784802</v>
      </c>
      <c r="D40">
        <v>92.650157504520806</v>
      </c>
      <c r="E40">
        <f t="shared" si="0"/>
        <v>1805.2378685979504</v>
      </c>
    </row>
    <row r="41" spans="1:5" x14ac:dyDescent="0.2">
      <c r="A41" t="s">
        <v>78</v>
      </c>
      <c r="B41" t="s">
        <v>120</v>
      </c>
      <c r="C41">
        <v>28.1062969202898</v>
      </c>
      <c r="D41">
        <v>94.535103442028998</v>
      </c>
      <c r="E41">
        <f t="shared" si="0"/>
        <v>1994.6551789169052</v>
      </c>
    </row>
    <row r="42" spans="1:5" x14ac:dyDescent="0.2">
      <c r="A42" t="s">
        <v>123</v>
      </c>
      <c r="B42" t="s">
        <v>124</v>
      </c>
      <c r="C42">
        <v>26.427872264630999</v>
      </c>
      <c r="D42">
        <v>90.979120101781106</v>
      </c>
      <c r="E42">
        <f t="shared" si="0"/>
        <v>1636.3532529780748</v>
      </c>
    </row>
    <row r="43" spans="1:5" x14ac:dyDescent="0.2">
      <c r="A43" t="s">
        <v>123</v>
      </c>
      <c r="B43" t="s">
        <v>127</v>
      </c>
      <c r="C43">
        <v>26.450125219941299</v>
      </c>
      <c r="D43">
        <v>90.673429618768395</v>
      </c>
      <c r="E43">
        <f t="shared" si="0"/>
        <v>1605.9304401989311</v>
      </c>
    </row>
    <row r="44" spans="1:5" x14ac:dyDescent="0.2">
      <c r="A44" t="s">
        <v>123</v>
      </c>
      <c r="B44" t="s">
        <v>129</v>
      </c>
      <c r="C44">
        <v>24.815570668692999</v>
      </c>
      <c r="D44">
        <v>92.868496504559204</v>
      </c>
      <c r="E44">
        <f t="shared" si="0"/>
        <v>1835.0021129999848</v>
      </c>
    </row>
    <row r="45" spans="1:5" x14ac:dyDescent="0.2">
      <c r="A45" t="s">
        <v>123</v>
      </c>
      <c r="B45" t="s">
        <v>132</v>
      </c>
      <c r="C45">
        <v>26.584632159624402</v>
      </c>
      <c r="D45">
        <v>92.041413380281497</v>
      </c>
      <c r="E45">
        <f t="shared" si="0"/>
        <v>1742.1282539004894</v>
      </c>
    </row>
    <row r="46" spans="1:5" x14ac:dyDescent="0.2">
      <c r="A46" t="s">
        <v>123</v>
      </c>
      <c r="B46" t="s">
        <v>135</v>
      </c>
      <c r="C46">
        <v>27.586533438485802</v>
      </c>
      <c r="D46">
        <v>94.713369085173497</v>
      </c>
      <c r="E46">
        <f t="shared" si="0"/>
        <v>2009.089619728642</v>
      </c>
    </row>
    <row r="47" spans="1:5" x14ac:dyDescent="0.2">
      <c r="A47" t="s">
        <v>123</v>
      </c>
      <c r="B47" t="s">
        <v>138</v>
      </c>
      <c r="C47">
        <v>26.045061484453299</v>
      </c>
      <c r="D47">
        <v>89.985008224673905</v>
      </c>
      <c r="E47">
        <f t="shared" si="0"/>
        <v>1537.4616674468859</v>
      </c>
    </row>
    <row r="48" spans="1:5" x14ac:dyDescent="0.2">
      <c r="A48" t="s">
        <v>123</v>
      </c>
      <c r="B48" t="s">
        <v>141</v>
      </c>
      <c r="C48">
        <v>27.306122844827499</v>
      </c>
      <c r="D48">
        <v>95.099828232758696</v>
      </c>
      <c r="E48">
        <f t="shared" si="0"/>
        <v>2046.3061378384339</v>
      </c>
    </row>
    <row r="49" spans="1:5" x14ac:dyDescent="0.2">
      <c r="A49" t="s">
        <v>123</v>
      </c>
      <c r="B49" t="s">
        <v>143</v>
      </c>
      <c r="C49">
        <v>26.017277777777799</v>
      </c>
      <c r="D49">
        <v>90.598698915989104</v>
      </c>
      <c r="E49">
        <f t="shared" si="0"/>
        <v>1598.8255217546252</v>
      </c>
    </row>
    <row r="50" spans="1:5" x14ac:dyDescent="0.2">
      <c r="A50" t="s">
        <v>123</v>
      </c>
      <c r="B50" t="s">
        <v>146</v>
      </c>
      <c r="C50">
        <v>26.377219709794399</v>
      </c>
      <c r="D50">
        <v>93.825833978234598</v>
      </c>
      <c r="E50">
        <f t="shared" si="0"/>
        <v>1919.9083720972901</v>
      </c>
    </row>
    <row r="51" spans="1:5" x14ac:dyDescent="0.2">
      <c r="A51" t="s">
        <v>123</v>
      </c>
      <c r="B51" t="s">
        <v>149</v>
      </c>
      <c r="C51">
        <v>24.457496089385401</v>
      </c>
      <c r="D51">
        <v>92.591546648044698</v>
      </c>
      <c r="E51">
        <f t="shared" si="0"/>
        <v>1811.8311037605501</v>
      </c>
    </row>
    <row r="52" spans="1:5" x14ac:dyDescent="0.2">
      <c r="A52" t="s">
        <v>123</v>
      </c>
      <c r="B52" t="s">
        <v>152</v>
      </c>
      <c r="C52">
        <v>26.7624482401656</v>
      </c>
      <c r="D52">
        <v>94.3019772256728</v>
      </c>
      <c r="E52">
        <f t="shared" si="0"/>
        <v>1966.761507441885</v>
      </c>
    </row>
    <row r="53" spans="1:5" x14ac:dyDescent="0.2">
      <c r="A53" t="s">
        <v>123</v>
      </c>
      <c r="B53" t="s">
        <v>155</v>
      </c>
      <c r="C53">
        <v>26.1709394520548</v>
      </c>
      <c r="D53">
        <v>91.588632739725895</v>
      </c>
      <c r="E53">
        <f t="shared" si="0"/>
        <v>1697.3244330345574</v>
      </c>
    </row>
    <row r="54" spans="1:5" x14ac:dyDescent="0.2">
      <c r="A54" t="s">
        <v>123</v>
      </c>
      <c r="B54" t="s">
        <v>158</v>
      </c>
      <c r="C54">
        <v>26.089664545980298</v>
      </c>
      <c r="D54">
        <v>93.115365702718293</v>
      </c>
      <c r="E54">
        <f t="shared" si="0"/>
        <v>1849.9175731865037</v>
      </c>
    </row>
    <row r="55" spans="1:5" x14ac:dyDescent="0.2">
      <c r="A55" t="s">
        <v>123</v>
      </c>
      <c r="B55" t="s">
        <v>161</v>
      </c>
      <c r="C55">
        <v>24.6966071225071</v>
      </c>
      <c r="D55">
        <v>92.367949857549704</v>
      </c>
      <c r="E55">
        <f t="shared" si="0"/>
        <v>1786.2046136647282</v>
      </c>
    </row>
    <row r="56" spans="1:5" x14ac:dyDescent="0.2">
      <c r="A56" t="s">
        <v>123</v>
      </c>
      <c r="B56" t="s">
        <v>164</v>
      </c>
      <c r="C56">
        <v>26.4972466357308</v>
      </c>
      <c r="D56">
        <v>90.139974709976798</v>
      </c>
      <c r="E56">
        <f t="shared" si="0"/>
        <v>1552.8941218392813</v>
      </c>
    </row>
    <row r="57" spans="1:5" x14ac:dyDescent="0.2">
      <c r="A57" t="s">
        <v>123</v>
      </c>
      <c r="B57" t="s">
        <v>167</v>
      </c>
      <c r="C57">
        <v>27.141288059701399</v>
      </c>
      <c r="D57">
        <v>94.077594925373205</v>
      </c>
      <c r="E57">
        <f t="shared" si="0"/>
        <v>1944.8851386740826</v>
      </c>
    </row>
    <row r="58" spans="1:5" x14ac:dyDescent="0.2">
      <c r="A58" t="s">
        <v>123</v>
      </c>
      <c r="B58" t="s">
        <v>169</v>
      </c>
      <c r="C58">
        <v>26.2465004672897</v>
      </c>
      <c r="D58">
        <v>92.219499532710202</v>
      </c>
      <c r="E58">
        <f t="shared" si="0"/>
        <v>1760.1029028545108</v>
      </c>
    </row>
    <row r="59" spans="1:5" x14ac:dyDescent="0.2">
      <c r="A59" t="s">
        <v>123</v>
      </c>
      <c r="B59" t="s">
        <v>172</v>
      </c>
      <c r="C59">
        <v>26.264621706263501</v>
      </c>
      <c r="D59">
        <v>92.930619114470801</v>
      </c>
      <c r="E59">
        <f t="shared" si="0"/>
        <v>1830.9656286077593</v>
      </c>
    </row>
    <row r="60" spans="1:5" x14ac:dyDescent="0.2">
      <c r="A60" t="s">
        <v>123</v>
      </c>
      <c r="B60" t="s">
        <v>174</v>
      </c>
      <c r="C60">
        <v>26.463237676056298</v>
      </c>
      <c r="D60">
        <v>91.405985211267605</v>
      </c>
      <c r="E60">
        <f t="shared" si="0"/>
        <v>1678.8619886141012</v>
      </c>
    </row>
    <row r="61" spans="1:5" x14ac:dyDescent="0.2">
      <c r="A61" t="s">
        <v>123</v>
      </c>
      <c r="B61" t="s">
        <v>177</v>
      </c>
      <c r="C61">
        <v>25.3382998531571</v>
      </c>
      <c r="D61">
        <v>92.977402055800297</v>
      </c>
      <c r="E61">
        <f t="shared" si="0"/>
        <v>1840.6415028246629</v>
      </c>
    </row>
    <row r="62" spans="1:5" x14ac:dyDescent="0.2">
      <c r="A62" t="s">
        <v>123</v>
      </c>
      <c r="B62" t="s">
        <v>180</v>
      </c>
      <c r="C62">
        <v>27.027628695652101</v>
      </c>
      <c r="D62">
        <v>94.900258478260795</v>
      </c>
      <c r="E62">
        <f t="shared" si="0"/>
        <v>2026.1532433868801</v>
      </c>
    </row>
    <row r="63" spans="1:5" x14ac:dyDescent="0.2">
      <c r="A63" t="s">
        <v>123</v>
      </c>
      <c r="B63" t="s">
        <v>183</v>
      </c>
      <c r="C63">
        <v>26.735149268292599</v>
      </c>
      <c r="D63">
        <v>92.851978048780396</v>
      </c>
      <c r="E63">
        <f t="shared" si="0"/>
        <v>1822.7768808754415</v>
      </c>
    </row>
    <row r="64" spans="1:5" x14ac:dyDescent="0.2">
      <c r="A64" t="s">
        <v>123</v>
      </c>
      <c r="B64" t="s">
        <v>186</v>
      </c>
      <c r="C64">
        <v>27.535492911392399</v>
      </c>
      <c r="D64">
        <v>95.690559493670804</v>
      </c>
      <c r="E64">
        <f t="shared" si="0"/>
        <v>2105.1844976705302</v>
      </c>
    </row>
    <row r="65" spans="1:5" x14ac:dyDescent="0.2">
      <c r="A65" t="s">
        <v>189</v>
      </c>
      <c r="B65" t="s">
        <v>190</v>
      </c>
      <c r="C65">
        <v>26.211528119180599</v>
      </c>
      <c r="D65">
        <v>87.307665549348101</v>
      </c>
      <c r="E65">
        <f t="shared" si="0"/>
        <v>1270.1965459801927</v>
      </c>
    </row>
    <row r="66" spans="1:5" x14ac:dyDescent="0.2">
      <c r="A66" t="s">
        <v>189</v>
      </c>
      <c r="B66" t="s">
        <v>193</v>
      </c>
      <c r="C66">
        <v>24.774291867469799</v>
      </c>
      <c r="D66">
        <v>84.459860240963707</v>
      </c>
      <c r="E66">
        <f t="shared" si="0"/>
        <v>991.39050691484272</v>
      </c>
    </row>
    <row r="67" spans="1:5" x14ac:dyDescent="0.2">
      <c r="A67" t="s">
        <v>189</v>
      </c>
      <c r="B67" t="s">
        <v>196</v>
      </c>
      <c r="C67">
        <v>24.832355642023298</v>
      </c>
      <c r="D67">
        <v>86.866491634241299</v>
      </c>
      <c r="E67">
        <f t="shared" ref="E67:E130" si="1">2*6371*ASIN(SQRT(
    SIN(RADIANS(C67-$L$4)/2)^2 +
    COS(RADIANS($L$4)) * COS(RADIANS(C67)) *
    SIN(RADIANS(D67-$L$5)/2)^2
))</f>
        <v>1232.2640574664065</v>
      </c>
    </row>
    <row r="68" spans="1:5" x14ac:dyDescent="0.2">
      <c r="A68" t="s">
        <v>189</v>
      </c>
      <c r="B68" t="s">
        <v>198</v>
      </c>
      <c r="C68">
        <v>25.543026131687199</v>
      </c>
      <c r="D68">
        <v>86.125601440329305</v>
      </c>
      <c r="E68">
        <f t="shared" si="1"/>
        <v>1152.4948095836778</v>
      </c>
    </row>
    <row r="69" spans="1:5" x14ac:dyDescent="0.2">
      <c r="A69" t="s">
        <v>189</v>
      </c>
      <c r="B69" t="s">
        <v>201</v>
      </c>
      <c r="C69">
        <v>25.021566425992699</v>
      </c>
      <c r="D69">
        <v>83.611281046931296</v>
      </c>
      <c r="E69">
        <f t="shared" si="1"/>
        <v>903.4953953702684</v>
      </c>
    </row>
    <row r="70" spans="1:5" x14ac:dyDescent="0.2">
      <c r="A70" t="s">
        <v>189</v>
      </c>
      <c r="B70" t="s">
        <v>204</v>
      </c>
      <c r="C70">
        <v>25.277192885375399</v>
      </c>
      <c r="D70">
        <v>87.042138142292401</v>
      </c>
      <c r="E70">
        <f t="shared" si="1"/>
        <v>1245.872282995773</v>
      </c>
    </row>
    <row r="71" spans="1:5" x14ac:dyDescent="0.2">
      <c r="A71" t="s">
        <v>189</v>
      </c>
      <c r="B71" t="s">
        <v>207</v>
      </c>
      <c r="C71">
        <v>25.5066643939393</v>
      </c>
      <c r="D71">
        <v>84.494078030303001</v>
      </c>
      <c r="E71">
        <f t="shared" si="1"/>
        <v>989.00289216263445</v>
      </c>
    </row>
    <row r="72" spans="1:5" x14ac:dyDescent="0.2">
      <c r="A72" t="s">
        <v>189</v>
      </c>
      <c r="B72" t="s">
        <v>210</v>
      </c>
      <c r="C72">
        <v>25.485930188679198</v>
      </c>
      <c r="D72">
        <v>84.088080817609907</v>
      </c>
      <c r="E72">
        <f t="shared" si="1"/>
        <v>948.346113622193</v>
      </c>
    </row>
    <row r="73" spans="1:5" x14ac:dyDescent="0.2">
      <c r="A73" t="s">
        <v>189</v>
      </c>
      <c r="B73" t="s">
        <v>213</v>
      </c>
      <c r="C73">
        <v>26.146187719298201</v>
      </c>
      <c r="D73">
        <v>85.973873524720901</v>
      </c>
      <c r="E73">
        <f t="shared" si="1"/>
        <v>1136.9750026598092</v>
      </c>
    </row>
    <row r="74" spans="1:5" x14ac:dyDescent="0.2">
      <c r="A74" t="s">
        <v>189</v>
      </c>
      <c r="B74" t="s">
        <v>216</v>
      </c>
      <c r="C74">
        <v>24.7266541547278</v>
      </c>
      <c r="D74">
        <v>84.942912177650399</v>
      </c>
      <c r="E74">
        <f t="shared" si="1"/>
        <v>1040.4552954401256</v>
      </c>
    </row>
    <row r="75" spans="1:5" x14ac:dyDescent="0.2">
      <c r="A75" t="s">
        <v>189</v>
      </c>
      <c r="B75" t="s">
        <v>218</v>
      </c>
      <c r="C75">
        <v>26.448743641618499</v>
      </c>
      <c r="D75">
        <v>84.346361271676201</v>
      </c>
      <c r="E75">
        <f t="shared" si="1"/>
        <v>976.60780284227826</v>
      </c>
    </row>
    <row r="76" spans="1:5" x14ac:dyDescent="0.2">
      <c r="A76" t="s">
        <v>189</v>
      </c>
      <c r="B76" t="s">
        <v>221</v>
      </c>
      <c r="C76">
        <v>24.784183804627201</v>
      </c>
      <c r="D76">
        <v>86.263162982005099</v>
      </c>
      <c r="E76">
        <f t="shared" si="1"/>
        <v>1172.2487425841082</v>
      </c>
    </row>
    <row r="77" spans="1:5" x14ac:dyDescent="0.2">
      <c r="A77" t="s">
        <v>189</v>
      </c>
      <c r="B77" t="s">
        <v>224</v>
      </c>
      <c r="C77">
        <v>25.155679045643101</v>
      </c>
      <c r="D77">
        <v>84.920812448132807</v>
      </c>
      <c r="E77">
        <f t="shared" si="1"/>
        <v>1033.8136785944146</v>
      </c>
    </row>
    <row r="78" spans="1:5" x14ac:dyDescent="0.2">
      <c r="A78" t="s">
        <v>189</v>
      </c>
      <c r="B78" t="s">
        <v>226</v>
      </c>
      <c r="C78">
        <v>25.565653560371501</v>
      </c>
      <c r="D78">
        <v>87.704660835913202</v>
      </c>
      <c r="E78">
        <f t="shared" si="1"/>
        <v>1310.7003327299044</v>
      </c>
    </row>
    <row r="79" spans="1:5" x14ac:dyDescent="0.2">
      <c r="A79" t="s">
        <v>189</v>
      </c>
      <c r="B79" t="s">
        <v>229</v>
      </c>
      <c r="C79">
        <v>25.535588914549599</v>
      </c>
      <c r="D79">
        <v>86.565932563510302</v>
      </c>
      <c r="E79">
        <f t="shared" si="1"/>
        <v>1196.6745393203896</v>
      </c>
    </row>
    <row r="80" spans="1:5" x14ac:dyDescent="0.2">
      <c r="A80" t="s">
        <v>189</v>
      </c>
      <c r="B80" t="s">
        <v>232</v>
      </c>
      <c r="C80">
        <v>26.324336758321198</v>
      </c>
      <c r="D80">
        <v>87.950450072358805</v>
      </c>
      <c r="E80">
        <f t="shared" si="1"/>
        <v>1334.52603111398</v>
      </c>
    </row>
    <row r="81" spans="1:5" x14ac:dyDescent="0.2">
      <c r="A81" t="s">
        <v>189</v>
      </c>
      <c r="B81" t="s">
        <v>235</v>
      </c>
      <c r="C81">
        <v>25.183449321266899</v>
      </c>
      <c r="D81">
        <v>86.128257013574597</v>
      </c>
      <c r="E81">
        <f t="shared" si="1"/>
        <v>1154.822230086723</v>
      </c>
    </row>
    <row r="82" spans="1:5" x14ac:dyDescent="0.2">
      <c r="A82" t="s">
        <v>189</v>
      </c>
      <c r="B82" t="s">
        <v>238</v>
      </c>
      <c r="C82">
        <v>25.773419294605802</v>
      </c>
      <c r="D82">
        <v>86.897844398340297</v>
      </c>
      <c r="E82">
        <f t="shared" si="1"/>
        <v>1229.2127503025811</v>
      </c>
    </row>
    <row r="83" spans="1:5" x14ac:dyDescent="0.2">
      <c r="A83" t="s">
        <v>189</v>
      </c>
      <c r="B83" t="s">
        <v>240</v>
      </c>
      <c r="C83">
        <v>26.413805381727101</v>
      </c>
      <c r="D83">
        <v>86.163283604505494</v>
      </c>
      <c r="E83">
        <f t="shared" si="1"/>
        <v>1156.9319460724496</v>
      </c>
    </row>
    <row r="84" spans="1:5" x14ac:dyDescent="0.2">
      <c r="A84" t="s">
        <v>189</v>
      </c>
      <c r="B84" t="s">
        <v>243</v>
      </c>
      <c r="C84">
        <v>25.198537962962899</v>
      </c>
      <c r="D84">
        <v>86.541736728394994</v>
      </c>
      <c r="E84">
        <f t="shared" si="1"/>
        <v>1196.2148734460332</v>
      </c>
    </row>
    <row r="85" spans="1:5" x14ac:dyDescent="0.2">
      <c r="A85" t="s">
        <v>189</v>
      </c>
      <c r="B85" t="s">
        <v>246</v>
      </c>
      <c r="C85">
        <v>26.186644171779101</v>
      </c>
      <c r="D85">
        <v>85.327450920245397</v>
      </c>
      <c r="E85">
        <f t="shared" si="1"/>
        <v>1072.626114051445</v>
      </c>
    </row>
    <row r="86" spans="1:5" x14ac:dyDescent="0.2">
      <c r="A86" t="s">
        <v>189</v>
      </c>
      <c r="B86" t="s">
        <v>249</v>
      </c>
      <c r="C86">
        <v>25.229345508982</v>
      </c>
      <c r="D86">
        <v>85.480531137724597</v>
      </c>
      <c r="E86">
        <f t="shared" si="1"/>
        <v>1089.4619653767184</v>
      </c>
    </row>
    <row r="87" spans="1:5" x14ac:dyDescent="0.2">
      <c r="A87" t="s">
        <v>189</v>
      </c>
      <c r="B87" t="s">
        <v>252</v>
      </c>
      <c r="C87">
        <v>24.8257088362069</v>
      </c>
      <c r="D87">
        <v>85.615945689655106</v>
      </c>
      <c r="E87">
        <f t="shared" si="1"/>
        <v>1106.796646563376</v>
      </c>
    </row>
    <row r="88" spans="1:5" x14ac:dyDescent="0.2">
      <c r="A88" t="s">
        <v>189</v>
      </c>
      <c r="B88" t="s">
        <v>255</v>
      </c>
      <c r="C88">
        <v>27.160643522012499</v>
      </c>
      <c r="D88">
        <v>84.302659119496795</v>
      </c>
      <c r="E88">
        <f t="shared" si="1"/>
        <v>981.51765319872982</v>
      </c>
    </row>
    <row r="89" spans="1:5" x14ac:dyDescent="0.2">
      <c r="A89" t="s">
        <v>189</v>
      </c>
      <c r="B89" t="s">
        <v>258</v>
      </c>
      <c r="C89">
        <v>25.402971145038101</v>
      </c>
      <c r="D89">
        <v>85.319843358778698</v>
      </c>
      <c r="E89">
        <f t="shared" si="1"/>
        <v>1072.2887729801498</v>
      </c>
    </row>
    <row r="90" spans="1:5" x14ac:dyDescent="0.2">
      <c r="A90" t="s">
        <v>189</v>
      </c>
      <c r="B90" t="s">
        <v>260</v>
      </c>
      <c r="C90">
        <v>26.6812933673469</v>
      </c>
      <c r="D90">
        <v>85.003821556122404</v>
      </c>
      <c r="E90">
        <f t="shared" si="1"/>
        <v>1043.933890514865</v>
      </c>
    </row>
    <row r="91" spans="1:5" x14ac:dyDescent="0.2">
      <c r="A91" t="s">
        <v>189</v>
      </c>
      <c r="B91" t="s">
        <v>263</v>
      </c>
      <c r="C91">
        <v>25.817148019017299</v>
      </c>
      <c r="D91">
        <v>87.404476069730606</v>
      </c>
      <c r="E91">
        <f t="shared" si="1"/>
        <v>1279.8440673386324</v>
      </c>
    </row>
    <row r="92" spans="1:5" x14ac:dyDescent="0.2">
      <c r="A92" t="s">
        <v>189</v>
      </c>
      <c r="B92" t="s">
        <v>266</v>
      </c>
      <c r="C92">
        <v>24.991704608294899</v>
      </c>
      <c r="D92">
        <v>83.935076267281104</v>
      </c>
      <c r="E92">
        <f t="shared" si="1"/>
        <v>936.29009452530431</v>
      </c>
    </row>
    <row r="93" spans="1:5" x14ac:dyDescent="0.2">
      <c r="A93" t="s">
        <v>189</v>
      </c>
      <c r="B93" t="s">
        <v>268</v>
      </c>
      <c r="C93">
        <v>25.821270696721299</v>
      </c>
      <c r="D93">
        <v>86.546708196721298</v>
      </c>
      <c r="E93">
        <f t="shared" si="1"/>
        <v>1193.9880382333267</v>
      </c>
    </row>
    <row r="94" spans="1:5" x14ac:dyDescent="0.2">
      <c r="A94" t="s">
        <v>189</v>
      </c>
      <c r="B94" t="s">
        <v>271</v>
      </c>
      <c r="C94">
        <v>25.793205563909702</v>
      </c>
      <c r="D94">
        <v>85.948333233082593</v>
      </c>
      <c r="E94">
        <f t="shared" si="1"/>
        <v>1134.1222597361316</v>
      </c>
    </row>
    <row r="95" spans="1:5" x14ac:dyDescent="0.2">
      <c r="A95" t="s">
        <v>189</v>
      </c>
      <c r="B95" t="s">
        <v>274</v>
      </c>
      <c r="C95">
        <v>25.896560778443099</v>
      </c>
      <c r="D95">
        <v>84.822662874251506</v>
      </c>
      <c r="E95">
        <f t="shared" si="1"/>
        <v>1021.4741797554706</v>
      </c>
    </row>
    <row r="96" spans="1:5" x14ac:dyDescent="0.2">
      <c r="A96" t="s">
        <v>189</v>
      </c>
      <c r="B96" t="s">
        <v>277</v>
      </c>
      <c r="C96">
        <v>25.124724365482201</v>
      </c>
      <c r="D96">
        <v>85.778393908629397</v>
      </c>
      <c r="E96">
        <f t="shared" si="1"/>
        <v>1120.1629321351882</v>
      </c>
    </row>
    <row r="97" spans="1:5" x14ac:dyDescent="0.2">
      <c r="A97" t="s">
        <v>189</v>
      </c>
      <c r="B97" t="s">
        <v>280</v>
      </c>
      <c r="C97">
        <v>26.4583807486631</v>
      </c>
      <c r="D97">
        <v>85.295394117647007</v>
      </c>
      <c r="E97">
        <f t="shared" si="1"/>
        <v>1070.9298783591898</v>
      </c>
    </row>
    <row r="98" spans="1:5" x14ac:dyDescent="0.2">
      <c r="A98" t="s">
        <v>189</v>
      </c>
      <c r="B98" t="s">
        <v>283</v>
      </c>
      <c r="C98">
        <v>26.565700696864099</v>
      </c>
      <c r="D98">
        <v>85.611724912892001</v>
      </c>
      <c r="E98">
        <f t="shared" si="1"/>
        <v>1103.1327443453736</v>
      </c>
    </row>
    <row r="99" spans="1:5" x14ac:dyDescent="0.2">
      <c r="A99" t="s">
        <v>189</v>
      </c>
      <c r="B99" t="s">
        <v>286</v>
      </c>
      <c r="C99">
        <v>26.173637201365199</v>
      </c>
      <c r="D99">
        <v>84.337665529010195</v>
      </c>
      <c r="E99">
        <f t="shared" si="1"/>
        <v>973.88014928628672</v>
      </c>
    </row>
    <row r="100" spans="1:5" x14ac:dyDescent="0.2">
      <c r="A100" t="s">
        <v>189</v>
      </c>
      <c r="B100" t="s">
        <v>288</v>
      </c>
      <c r="C100">
        <v>26.281578937728899</v>
      </c>
      <c r="D100">
        <v>86.784964652014594</v>
      </c>
      <c r="E100">
        <f t="shared" si="1"/>
        <v>1218.2650413948109</v>
      </c>
    </row>
    <row r="101" spans="1:5" x14ac:dyDescent="0.2">
      <c r="A101" t="s">
        <v>189</v>
      </c>
      <c r="B101" t="s">
        <v>291</v>
      </c>
      <c r="C101">
        <v>25.813470318021199</v>
      </c>
      <c r="D101">
        <v>85.3924759717315</v>
      </c>
      <c r="E101">
        <f t="shared" si="1"/>
        <v>1078.4631873075227</v>
      </c>
    </row>
    <row r="102" spans="1:5" x14ac:dyDescent="0.2">
      <c r="A102" t="s">
        <v>293</v>
      </c>
      <c r="B102" t="s">
        <v>293</v>
      </c>
      <c r="C102">
        <v>30.742599999999999</v>
      </c>
      <c r="D102">
        <v>76.758724657534202</v>
      </c>
      <c r="E102">
        <f t="shared" si="1"/>
        <v>623.97368837214913</v>
      </c>
    </row>
    <row r="103" spans="1:5" x14ac:dyDescent="0.2">
      <c r="A103" t="s">
        <v>295</v>
      </c>
      <c r="B103" t="s">
        <v>296</v>
      </c>
      <c r="C103">
        <v>19.393866751269002</v>
      </c>
      <c r="D103">
        <v>81.528951269035403</v>
      </c>
      <c r="E103">
        <f t="shared" si="1"/>
        <v>976.91019395986143</v>
      </c>
    </row>
    <row r="104" spans="1:5" x14ac:dyDescent="0.2">
      <c r="A104" t="s">
        <v>295</v>
      </c>
      <c r="B104" t="s">
        <v>299</v>
      </c>
      <c r="C104">
        <v>22.356942982456101</v>
      </c>
      <c r="D104">
        <v>81.997703508771806</v>
      </c>
      <c r="E104">
        <f t="shared" si="1"/>
        <v>823.14488756715161</v>
      </c>
    </row>
    <row r="105" spans="1:5" x14ac:dyDescent="0.2">
      <c r="A105" t="s">
        <v>295</v>
      </c>
      <c r="B105" t="s">
        <v>302</v>
      </c>
      <c r="C105">
        <v>18.653854086538399</v>
      </c>
      <c r="D105">
        <v>81.072001201923101</v>
      </c>
      <c r="E105">
        <f t="shared" si="1"/>
        <v>1004.9515581017657</v>
      </c>
    </row>
    <row r="106" spans="1:5" x14ac:dyDescent="0.2">
      <c r="A106" t="s">
        <v>295</v>
      </c>
      <c r="B106" t="s">
        <v>305</v>
      </c>
      <c r="C106">
        <v>20.554912627291198</v>
      </c>
      <c r="D106">
        <v>81.7569195519348</v>
      </c>
      <c r="E106">
        <f t="shared" si="1"/>
        <v>909.12961358615291</v>
      </c>
    </row>
    <row r="107" spans="1:5" x14ac:dyDescent="0.2">
      <c r="A107" t="s">
        <v>295</v>
      </c>
      <c r="B107" t="s">
        <v>307</v>
      </c>
      <c r="C107">
        <v>21.1944638492871</v>
      </c>
      <c r="D107">
        <v>81.3318163951119</v>
      </c>
      <c r="E107">
        <f t="shared" si="1"/>
        <v>831.01489327121715</v>
      </c>
    </row>
    <row r="108" spans="1:5" x14ac:dyDescent="0.2">
      <c r="A108" t="s">
        <v>295</v>
      </c>
      <c r="B108" t="s">
        <v>310</v>
      </c>
      <c r="C108">
        <v>21.96109375</v>
      </c>
      <c r="D108">
        <v>82.804954086538402</v>
      </c>
      <c r="E108">
        <f t="shared" si="1"/>
        <v>917.17837391985586</v>
      </c>
    </row>
    <row r="109" spans="1:5" x14ac:dyDescent="0.2">
      <c r="A109" t="s">
        <v>295</v>
      </c>
      <c r="B109" t="s">
        <v>313</v>
      </c>
      <c r="C109">
        <v>22.772861676646599</v>
      </c>
      <c r="D109">
        <v>83.870396207584804</v>
      </c>
      <c r="E109">
        <f t="shared" si="1"/>
        <v>982.77873574423381</v>
      </c>
    </row>
    <row r="110" spans="1:5" x14ac:dyDescent="0.2">
      <c r="A110" t="s">
        <v>295</v>
      </c>
      <c r="B110" t="s">
        <v>315</v>
      </c>
      <c r="C110">
        <v>20.139461285008199</v>
      </c>
      <c r="D110">
        <v>81.069130807248698</v>
      </c>
      <c r="E110">
        <f t="shared" si="1"/>
        <v>884.71845346338466</v>
      </c>
    </row>
    <row r="111" spans="1:5" x14ac:dyDescent="0.2">
      <c r="A111" t="s">
        <v>295</v>
      </c>
      <c r="B111" t="s">
        <v>318</v>
      </c>
      <c r="C111">
        <v>22.0480007920792</v>
      </c>
      <c r="D111">
        <v>81.162711881188102</v>
      </c>
      <c r="E111">
        <f t="shared" si="1"/>
        <v>764.01115604403606</v>
      </c>
    </row>
    <row r="112" spans="1:5" x14ac:dyDescent="0.2">
      <c r="A112" t="s">
        <v>295</v>
      </c>
      <c r="B112" t="s">
        <v>321</v>
      </c>
      <c r="C112">
        <v>22.491712499999899</v>
      </c>
      <c r="D112">
        <v>82.576043269230695</v>
      </c>
      <c r="E112">
        <f t="shared" si="1"/>
        <v>870.71976584001038</v>
      </c>
    </row>
    <row r="113" spans="1:5" x14ac:dyDescent="0.2">
      <c r="A113" t="s">
        <v>295</v>
      </c>
      <c r="B113" t="s">
        <v>324</v>
      </c>
      <c r="C113">
        <v>23.504127768595001</v>
      </c>
      <c r="D113">
        <v>82.125156363636293</v>
      </c>
      <c r="E113">
        <f t="shared" si="1"/>
        <v>787.74319494063366</v>
      </c>
    </row>
    <row r="114" spans="1:5" x14ac:dyDescent="0.2">
      <c r="A114" t="s">
        <v>295</v>
      </c>
      <c r="B114" t="s">
        <v>327</v>
      </c>
      <c r="C114">
        <v>21.223727037773301</v>
      </c>
      <c r="D114">
        <v>82.659254274353799</v>
      </c>
      <c r="E114">
        <f t="shared" si="1"/>
        <v>943.80018602531504</v>
      </c>
    </row>
    <row r="115" spans="1:5" x14ac:dyDescent="0.2">
      <c r="A115" t="s">
        <v>295</v>
      </c>
      <c r="B115" t="s">
        <v>330</v>
      </c>
      <c r="C115">
        <v>22.008265068493099</v>
      </c>
      <c r="D115">
        <v>83.277976986301297</v>
      </c>
      <c r="E115">
        <f t="shared" si="1"/>
        <v>958.7533680237708</v>
      </c>
    </row>
    <row r="116" spans="1:5" x14ac:dyDescent="0.2">
      <c r="A116" t="s">
        <v>295</v>
      </c>
      <c r="B116" t="s">
        <v>333</v>
      </c>
      <c r="C116">
        <v>20.886031538461499</v>
      </c>
      <c r="D116">
        <v>82.200327596153798</v>
      </c>
      <c r="E116">
        <f t="shared" si="1"/>
        <v>924.37504572998751</v>
      </c>
    </row>
    <row r="117" spans="1:5" x14ac:dyDescent="0.2">
      <c r="A117" t="s">
        <v>295</v>
      </c>
      <c r="B117" t="s">
        <v>336</v>
      </c>
      <c r="C117">
        <v>21.058414734950599</v>
      </c>
      <c r="D117">
        <v>80.785266936208302</v>
      </c>
      <c r="E117">
        <f t="shared" si="1"/>
        <v>795.26063547905949</v>
      </c>
    </row>
    <row r="118" spans="1:5" x14ac:dyDescent="0.2">
      <c r="A118" t="s">
        <v>295</v>
      </c>
      <c r="B118" t="s">
        <v>339</v>
      </c>
      <c r="C118">
        <v>23.327192787285998</v>
      </c>
      <c r="D118">
        <v>83.235824938875297</v>
      </c>
      <c r="E118">
        <f t="shared" si="1"/>
        <v>901.8254846055645</v>
      </c>
    </row>
    <row r="119" spans="1:5" x14ac:dyDescent="0.2">
      <c r="A119" t="s">
        <v>342</v>
      </c>
      <c r="B119" t="s">
        <v>342</v>
      </c>
      <c r="C119">
        <v>20.215132170542599</v>
      </c>
      <c r="D119">
        <v>73.0945496124031</v>
      </c>
      <c r="E119">
        <f t="shared" si="1"/>
        <v>603.34483740190831</v>
      </c>
    </row>
    <row r="120" spans="1:5" x14ac:dyDescent="0.2">
      <c r="A120" t="s">
        <v>345</v>
      </c>
      <c r="B120" t="s">
        <v>346</v>
      </c>
      <c r="C120">
        <v>20.431616666666599</v>
      </c>
      <c r="D120">
        <v>72.839236607142894</v>
      </c>
      <c r="E120">
        <f t="shared" si="1"/>
        <v>587.7776229295921</v>
      </c>
    </row>
    <row r="121" spans="1:5" x14ac:dyDescent="0.2">
      <c r="A121" t="s">
        <v>345</v>
      </c>
      <c r="B121" t="s">
        <v>348</v>
      </c>
      <c r="C121">
        <v>20.725681994981102</v>
      </c>
      <c r="D121">
        <v>70.839856398996105</v>
      </c>
      <c r="E121">
        <f t="shared" si="1"/>
        <v>653.46330882195525</v>
      </c>
    </row>
    <row r="122" spans="1:5" x14ac:dyDescent="0.2">
      <c r="A122" t="s">
        <v>351</v>
      </c>
      <c r="B122" t="s">
        <v>351</v>
      </c>
      <c r="C122">
        <v>28.645944298245599</v>
      </c>
      <c r="D122">
        <v>77.128045175438501</v>
      </c>
      <c r="E122">
        <f t="shared" si="1"/>
        <v>432.32219111676392</v>
      </c>
    </row>
    <row r="123" spans="1:5" x14ac:dyDescent="0.2">
      <c r="A123" t="s">
        <v>354</v>
      </c>
      <c r="B123" t="s">
        <v>355</v>
      </c>
      <c r="C123">
        <v>15.548723418713999</v>
      </c>
      <c r="D123">
        <v>73.806679979090305</v>
      </c>
      <c r="E123">
        <f t="shared" si="1"/>
        <v>1104.5039242988134</v>
      </c>
    </row>
    <row r="124" spans="1:5" x14ac:dyDescent="0.2">
      <c r="A124" t="s">
        <v>354</v>
      </c>
      <c r="B124" t="s">
        <v>358</v>
      </c>
      <c r="C124">
        <v>15.1952786581837</v>
      </c>
      <c r="D124">
        <v>73.941792596876994</v>
      </c>
      <c r="E124">
        <f t="shared" si="1"/>
        <v>1142.715501524309</v>
      </c>
    </row>
    <row r="125" spans="1:5" x14ac:dyDescent="0.2">
      <c r="A125" t="s">
        <v>360</v>
      </c>
      <c r="B125" t="s">
        <v>361</v>
      </c>
      <c r="C125">
        <v>22.6054255649717</v>
      </c>
      <c r="D125">
        <v>72.238981355932196</v>
      </c>
      <c r="E125">
        <f t="shared" si="1"/>
        <v>399.43108100020419</v>
      </c>
    </row>
    <row r="126" spans="1:5" x14ac:dyDescent="0.2">
      <c r="A126" t="s">
        <v>360</v>
      </c>
      <c r="B126" t="s">
        <v>364</v>
      </c>
      <c r="C126">
        <v>21.0483264931087</v>
      </c>
      <c r="D126">
        <v>71.434576378254206</v>
      </c>
      <c r="E126">
        <f t="shared" si="1"/>
        <v>588.90483841254263</v>
      </c>
    </row>
    <row r="127" spans="1:5" x14ac:dyDescent="0.2">
      <c r="A127" t="s">
        <v>360</v>
      </c>
      <c r="B127" t="s">
        <v>367</v>
      </c>
      <c r="C127">
        <v>22.282718206229799</v>
      </c>
      <c r="D127">
        <v>72.577820515574501</v>
      </c>
      <c r="E127">
        <f t="shared" si="1"/>
        <v>409.95107130744304</v>
      </c>
    </row>
    <row r="128" spans="1:5" x14ac:dyDescent="0.2">
      <c r="A128" t="s">
        <v>360</v>
      </c>
      <c r="B128" t="s">
        <v>370</v>
      </c>
      <c r="C128">
        <v>24.2585389655172</v>
      </c>
      <c r="D128">
        <v>71.932052528735596</v>
      </c>
      <c r="E128">
        <f t="shared" si="1"/>
        <v>303.64572284280695</v>
      </c>
    </row>
    <row r="129" spans="1:5" x14ac:dyDescent="0.2">
      <c r="A129" t="s">
        <v>360</v>
      </c>
      <c r="B129" t="s">
        <v>373</v>
      </c>
      <c r="C129">
        <v>21.757872762377598</v>
      </c>
      <c r="D129">
        <v>72.673263467108001</v>
      </c>
      <c r="E129">
        <f t="shared" si="1"/>
        <v>456.91452549774499</v>
      </c>
    </row>
    <row r="130" spans="1:5" x14ac:dyDescent="0.2">
      <c r="A130" t="s">
        <v>360</v>
      </c>
      <c r="B130" t="s">
        <v>376</v>
      </c>
      <c r="C130">
        <v>21.702193903417299</v>
      </c>
      <c r="D130">
        <v>72.162726327611395</v>
      </c>
      <c r="E130">
        <f t="shared" si="1"/>
        <v>487.29431030091382</v>
      </c>
    </row>
    <row r="131" spans="1:5" x14ac:dyDescent="0.2">
      <c r="A131" t="s">
        <v>360</v>
      </c>
      <c r="B131" t="s">
        <v>379</v>
      </c>
      <c r="C131">
        <v>22.897992252252202</v>
      </c>
      <c r="D131">
        <v>73.991706126126005</v>
      </c>
      <c r="E131">
        <f t="shared" ref="E131:E194" si="2">2*6371*ASIN(SQRT(
    SIN(RADIANS(C131-$L$4)/2)^2 +
    COS(RADIANS($L$4)) * COS(RADIANS(C131)) *
    SIN(RADIANS(D131-$L$5)/2)^2
))</f>
        <v>291.40709481473789</v>
      </c>
    </row>
    <row r="132" spans="1:5" x14ac:dyDescent="0.2">
      <c r="A132" t="s">
        <v>360</v>
      </c>
      <c r="B132" t="s">
        <v>382</v>
      </c>
      <c r="C132">
        <v>23.193679790026199</v>
      </c>
      <c r="D132">
        <v>72.672216797900205</v>
      </c>
      <c r="E132">
        <f t="shared" si="2"/>
        <v>320.52801619787436</v>
      </c>
    </row>
    <row r="133" spans="1:5" x14ac:dyDescent="0.2">
      <c r="A133" t="s">
        <v>360</v>
      </c>
      <c r="B133" t="s">
        <v>385</v>
      </c>
      <c r="C133">
        <v>22.4106004142633</v>
      </c>
      <c r="D133">
        <v>69.620620057682302</v>
      </c>
      <c r="E133">
        <f t="shared" si="2"/>
        <v>611.87025543953757</v>
      </c>
    </row>
    <row r="134" spans="1:5" x14ac:dyDescent="0.2">
      <c r="A134" t="s">
        <v>360</v>
      </c>
      <c r="B134" t="s">
        <v>348</v>
      </c>
      <c r="C134">
        <v>20.9295230116097</v>
      </c>
      <c r="D134">
        <v>70.547338901403407</v>
      </c>
      <c r="E134">
        <f t="shared" si="2"/>
        <v>653.89890011628097</v>
      </c>
    </row>
    <row r="135" spans="1:5" x14ac:dyDescent="0.2">
      <c r="A135" t="s">
        <v>360</v>
      </c>
      <c r="B135" t="s">
        <v>390</v>
      </c>
      <c r="C135">
        <v>23.4805720330131</v>
      </c>
      <c r="D135">
        <v>68.821923014979106</v>
      </c>
      <c r="E135">
        <f t="shared" si="2"/>
        <v>628.16488798396711</v>
      </c>
    </row>
    <row r="136" spans="1:5" x14ac:dyDescent="0.2">
      <c r="A136" t="s">
        <v>360</v>
      </c>
      <c r="B136" t="s">
        <v>393</v>
      </c>
      <c r="C136">
        <v>22.887653125</v>
      </c>
      <c r="D136">
        <v>73.018803515624995</v>
      </c>
      <c r="E136">
        <f t="shared" si="2"/>
        <v>329.05837969142425</v>
      </c>
    </row>
    <row r="137" spans="1:5" x14ac:dyDescent="0.2">
      <c r="A137" t="s">
        <v>360</v>
      </c>
      <c r="B137" t="s">
        <v>395</v>
      </c>
      <c r="C137">
        <v>23.529355452865001</v>
      </c>
      <c r="D137">
        <v>72.455451940850296</v>
      </c>
      <c r="E137">
        <f t="shared" si="2"/>
        <v>307.41070983673558</v>
      </c>
    </row>
    <row r="138" spans="1:5" x14ac:dyDescent="0.2">
      <c r="A138" t="s">
        <v>360</v>
      </c>
      <c r="B138" t="s">
        <v>398</v>
      </c>
      <c r="C138">
        <v>21.706663862928298</v>
      </c>
      <c r="D138">
        <v>73.684032087227394</v>
      </c>
      <c r="E138">
        <f t="shared" si="2"/>
        <v>427.6006099594066</v>
      </c>
    </row>
    <row r="139" spans="1:5" x14ac:dyDescent="0.2">
      <c r="A139" t="s">
        <v>360</v>
      </c>
      <c r="B139" t="s">
        <v>401</v>
      </c>
      <c r="C139">
        <v>20.866973318871899</v>
      </c>
      <c r="D139">
        <v>72.861848698481495</v>
      </c>
      <c r="E139">
        <f t="shared" si="2"/>
        <v>541.14435339777435</v>
      </c>
    </row>
    <row r="140" spans="1:5" x14ac:dyDescent="0.2">
      <c r="A140" t="s">
        <v>360</v>
      </c>
      <c r="B140" t="s">
        <v>404</v>
      </c>
      <c r="C140">
        <v>22.804356068375998</v>
      </c>
      <c r="D140">
        <v>73.619845982905801</v>
      </c>
      <c r="E140">
        <f t="shared" si="2"/>
        <v>311.96955702883571</v>
      </c>
    </row>
    <row r="141" spans="1:5" x14ac:dyDescent="0.2">
      <c r="A141" t="s">
        <v>360</v>
      </c>
      <c r="B141" t="s">
        <v>407</v>
      </c>
      <c r="C141">
        <v>23.8063419847328</v>
      </c>
      <c r="D141">
        <v>71.751629770992295</v>
      </c>
      <c r="E141">
        <f t="shared" si="2"/>
        <v>344.45009668684492</v>
      </c>
    </row>
    <row r="142" spans="1:5" x14ac:dyDescent="0.2">
      <c r="A142" t="s">
        <v>360</v>
      </c>
      <c r="B142" t="s">
        <v>410</v>
      </c>
      <c r="C142">
        <v>21.550923516515699</v>
      </c>
      <c r="D142">
        <v>69.718969877228801</v>
      </c>
      <c r="E142">
        <f t="shared" si="2"/>
        <v>663.07282420167166</v>
      </c>
    </row>
    <row r="143" spans="1:5" x14ac:dyDescent="0.2">
      <c r="A143" t="s">
        <v>360</v>
      </c>
      <c r="B143" t="s">
        <v>413</v>
      </c>
      <c r="C143">
        <v>22.4060337771548</v>
      </c>
      <c r="D143">
        <v>70.836794393833202</v>
      </c>
      <c r="E143">
        <f t="shared" si="2"/>
        <v>513.7792769604157</v>
      </c>
    </row>
    <row r="144" spans="1:5" x14ac:dyDescent="0.2">
      <c r="A144" t="s">
        <v>360</v>
      </c>
      <c r="B144" t="s">
        <v>416</v>
      </c>
      <c r="C144">
        <v>23.7180359454855</v>
      </c>
      <c r="D144">
        <v>73.136387904599601</v>
      </c>
      <c r="E144">
        <f t="shared" si="2"/>
        <v>245.43173912369181</v>
      </c>
    </row>
    <row r="145" spans="1:5" x14ac:dyDescent="0.2">
      <c r="A145" t="s">
        <v>360</v>
      </c>
      <c r="B145" t="s">
        <v>419</v>
      </c>
      <c r="C145">
        <v>21.257613727720901</v>
      </c>
      <c r="D145">
        <v>72.934887163443307</v>
      </c>
      <c r="E145">
        <f t="shared" si="2"/>
        <v>497.69421175327517</v>
      </c>
    </row>
    <row r="146" spans="1:5" x14ac:dyDescent="0.2">
      <c r="A146" t="s">
        <v>360</v>
      </c>
      <c r="B146" t="s">
        <v>422</v>
      </c>
      <c r="C146">
        <v>22.8267200729927</v>
      </c>
      <c r="D146">
        <v>71.483587408759007</v>
      </c>
      <c r="E146">
        <f t="shared" si="2"/>
        <v>433.22065192629111</v>
      </c>
    </row>
    <row r="147" spans="1:5" x14ac:dyDescent="0.2">
      <c r="A147" t="s">
        <v>360</v>
      </c>
      <c r="B147" t="s">
        <v>425</v>
      </c>
      <c r="C147">
        <v>20.801633877551001</v>
      </c>
      <c r="D147">
        <v>73.688351836734697</v>
      </c>
      <c r="E147">
        <f t="shared" si="2"/>
        <v>526.06926898648294</v>
      </c>
    </row>
    <row r="148" spans="1:5" x14ac:dyDescent="0.2">
      <c r="A148" t="s">
        <v>360</v>
      </c>
      <c r="B148" t="s">
        <v>427</v>
      </c>
      <c r="C148">
        <v>22.261337392795799</v>
      </c>
      <c r="D148">
        <v>73.494330102915896</v>
      </c>
      <c r="E148">
        <f t="shared" si="2"/>
        <v>373.31710696503524</v>
      </c>
    </row>
    <row r="149" spans="1:5" x14ac:dyDescent="0.2">
      <c r="A149" t="s">
        <v>360</v>
      </c>
      <c r="B149" t="s">
        <v>430</v>
      </c>
      <c r="C149">
        <v>20.442382316442501</v>
      </c>
      <c r="D149">
        <v>72.914858479834507</v>
      </c>
      <c r="E149">
        <f t="shared" si="2"/>
        <v>584.25429653671426</v>
      </c>
    </row>
    <row r="150" spans="1:5" x14ac:dyDescent="0.2">
      <c r="A150" t="s">
        <v>432</v>
      </c>
      <c r="B150" t="s">
        <v>433</v>
      </c>
      <c r="C150">
        <v>30.350367231638302</v>
      </c>
      <c r="D150">
        <v>76.949703107344504</v>
      </c>
      <c r="E150">
        <f t="shared" si="2"/>
        <v>590.12496814544397</v>
      </c>
    </row>
    <row r="151" spans="1:5" x14ac:dyDescent="0.2">
      <c r="A151" t="s">
        <v>432</v>
      </c>
      <c r="B151" t="s">
        <v>436</v>
      </c>
      <c r="C151">
        <v>28.728868064516099</v>
      </c>
      <c r="D151">
        <v>76.021102258064502</v>
      </c>
      <c r="E151">
        <f t="shared" si="2"/>
        <v>389.26795801670647</v>
      </c>
    </row>
    <row r="152" spans="1:5" x14ac:dyDescent="0.2">
      <c r="A152" t="s">
        <v>432</v>
      </c>
      <c r="B152" t="s">
        <v>439</v>
      </c>
      <c r="C152">
        <v>28.148731097560901</v>
      </c>
      <c r="D152">
        <v>77.327185365853595</v>
      </c>
      <c r="E152">
        <f t="shared" si="2"/>
        <v>401.37908805748867</v>
      </c>
    </row>
    <row r="153" spans="1:5" x14ac:dyDescent="0.2">
      <c r="A153" t="s">
        <v>432</v>
      </c>
      <c r="B153" t="s">
        <v>442</v>
      </c>
      <c r="C153">
        <v>29.572983185840702</v>
      </c>
      <c r="D153">
        <v>75.546087168141497</v>
      </c>
      <c r="E153">
        <f t="shared" si="2"/>
        <v>466.95462715609807</v>
      </c>
    </row>
    <row r="154" spans="1:5" x14ac:dyDescent="0.2">
      <c r="A154" t="s">
        <v>432</v>
      </c>
      <c r="B154" t="s">
        <v>445</v>
      </c>
      <c r="C154">
        <v>28.043894789579099</v>
      </c>
      <c r="D154">
        <v>77.019351302605202</v>
      </c>
      <c r="E154">
        <f t="shared" si="2"/>
        <v>372.74635118889381</v>
      </c>
    </row>
    <row r="155" spans="1:5" x14ac:dyDescent="0.2">
      <c r="A155" t="s">
        <v>432</v>
      </c>
      <c r="B155" t="s">
        <v>448</v>
      </c>
      <c r="C155">
        <v>29.236287311178199</v>
      </c>
      <c r="D155">
        <v>75.843246827794502</v>
      </c>
      <c r="E155">
        <f t="shared" si="2"/>
        <v>437.34369560434567</v>
      </c>
    </row>
    <row r="156" spans="1:5" x14ac:dyDescent="0.2">
      <c r="A156" t="s">
        <v>432</v>
      </c>
      <c r="B156" t="s">
        <v>451</v>
      </c>
      <c r="C156">
        <v>28.596518681318599</v>
      </c>
      <c r="D156">
        <v>76.611371428571402</v>
      </c>
      <c r="E156">
        <f t="shared" si="2"/>
        <v>400.56790970934395</v>
      </c>
    </row>
    <row r="157" spans="1:5" x14ac:dyDescent="0.2">
      <c r="A157" t="s">
        <v>432</v>
      </c>
      <c r="B157" t="s">
        <v>454</v>
      </c>
      <c r="C157">
        <v>29.451498219584501</v>
      </c>
      <c r="D157">
        <v>76.295985756676501</v>
      </c>
      <c r="E157">
        <f t="shared" si="2"/>
        <v>473.87381660143251</v>
      </c>
    </row>
    <row r="158" spans="1:5" x14ac:dyDescent="0.2">
      <c r="A158" t="s">
        <v>432</v>
      </c>
      <c r="B158" t="s">
        <v>457</v>
      </c>
      <c r="C158">
        <v>29.960685390946399</v>
      </c>
      <c r="D158">
        <v>76.376989300411495</v>
      </c>
      <c r="E158">
        <f t="shared" si="2"/>
        <v>529.77787052613974</v>
      </c>
    </row>
    <row r="159" spans="1:5" x14ac:dyDescent="0.2">
      <c r="A159" t="s">
        <v>432</v>
      </c>
      <c r="B159" t="s">
        <v>460</v>
      </c>
      <c r="C159">
        <v>29.703200647249201</v>
      </c>
      <c r="D159">
        <v>76.874880258899694</v>
      </c>
      <c r="E159">
        <f t="shared" si="2"/>
        <v>521.57688004558122</v>
      </c>
    </row>
    <row r="160" spans="1:5" x14ac:dyDescent="0.2">
      <c r="A160" t="s">
        <v>432</v>
      </c>
      <c r="B160" t="s">
        <v>463</v>
      </c>
      <c r="C160">
        <v>30.0565265984654</v>
      </c>
      <c r="D160">
        <v>76.787746803068998</v>
      </c>
      <c r="E160">
        <f t="shared" si="2"/>
        <v>553.96591671041904</v>
      </c>
    </row>
    <row r="161" spans="1:5" x14ac:dyDescent="0.2">
      <c r="A161" t="s">
        <v>432</v>
      </c>
      <c r="B161" t="s">
        <v>466</v>
      </c>
      <c r="C161">
        <v>28.135216145833301</v>
      </c>
      <c r="D161">
        <v>76.140180729166502</v>
      </c>
      <c r="E161">
        <f t="shared" si="2"/>
        <v>333.54495215466073</v>
      </c>
    </row>
    <row r="162" spans="1:5" x14ac:dyDescent="0.2">
      <c r="A162" t="s">
        <v>432</v>
      </c>
      <c r="B162" t="s">
        <v>468</v>
      </c>
      <c r="C162">
        <v>30.700897142857102</v>
      </c>
      <c r="D162">
        <v>76.971732380952304</v>
      </c>
      <c r="E162">
        <f t="shared" si="2"/>
        <v>626.92921727723046</v>
      </c>
    </row>
    <row r="163" spans="1:5" x14ac:dyDescent="0.2">
      <c r="A163" t="s">
        <v>432</v>
      </c>
      <c r="B163" t="s">
        <v>471</v>
      </c>
      <c r="C163">
        <v>29.343521341463401</v>
      </c>
      <c r="D163">
        <v>76.928959146341398</v>
      </c>
      <c r="E163">
        <f t="shared" si="2"/>
        <v>488.23327066129377</v>
      </c>
    </row>
    <row r="164" spans="1:5" x14ac:dyDescent="0.2">
      <c r="A164" t="s">
        <v>432</v>
      </c>
      <c r="B164" t="s">
        <v>474</v>
      </c>
      <c r="C164">
        <v>28.191647148288901</v>
      </c>
      <c r="D164">
        <v>76.559560076045599</v>
      </c>
      <c r="E164">
        <f t="shared" si="2"/>
        <v>359.37050225083163</v>
      </c>
    </row>
    <row r="165" spans="1:5" x14ac:dyDescent="0.2">
      <c r="A165" t="s">
        <v>432</v>
      </c>
      <c r="B165" t="s">
        <v>477</v>
      </c>
      <c r="C165">
        <v>28.892517647058799</v>
      </c>
      <c r="D165">
        <v>76.531232352941103</v>
      </c>
      <c r="E165">
        <f t="shared" si="2"/>
        <v>425.94389822881135</v>
      </c>
    </row>
    <row r="166" spans="1:5" x14ac:dyDescent="0.2">
      <c r="A166" t="s">
        <v>432</v>
      </c>
      <c r="B166" t="s">
        <v>480</v>
      </c>
      <c r="C166">
        <v>29.635834463276801</v>
      </c>
      <c r="D166">
        <v>74.909704802259796</v>
      </c>
      <c r="E166">
        <f t="shared" si="2"/>
        <v>466.07187800591237</v>
      </c>
    </row>
    <row r="167" spans="1:5" x14ac:dyDescent="0.2">
      <c r="A167" t="s">
        <v>432</v>
      </c>
      <c r="B167" t="s">
        <v>483</v>
      </c>
      <c r="C167">
        <v>29.058057079646002</v>
      </c>
      <c r="D167">
        <v>76.855870796460096</v>
      </c>
      <c r="E167">
        <f t="shared" si="2"/>
        <v>456.97238298530863</v>
      </c>
    </row>
    <row r="168" spans="1:5" x14ac:dyDescent="0.2">
      <c r="A168" t="s">
        <v>432</v>
      </c>
      <c r="B168" t="s">
        <v>486</v>
      </c>
      <c r="C168">
        <v>30.264661825726101</v>
      </c>
      <c r="D168">
        <v>77.316528215767605</v>
      </c>
      <c r="E168">
        <f t="shared" si="2"/>
        <v>596.37112757035459</v>
      </c>
    </row>
    <row r="169" spans="1:5" x14ac:dyDescent="0.2">
      <c r="A169" t="s">
        <v>489</v>
      </c>
      <c r="B169" t="s">
        <v>299</v>
      </c>
      <c r="C169">
        <v>31.378042290748901</v>
      </c>
      <c r="D169">
        <v>76.653160792951496</v>
      </c>
      <c r="E169">
        <f t="shared" si="2"/>
        <v>687.7828202700166</v>
      </c>
    </row>
    <row r="170" spans="1:5" x14ac:dyDescent="0.2">
      <c r="A170" t="s">
        <v>489</v>
      </c>
      <c r="B170" t="s">
        <v>491</v>
      </c>
      <c r="C170">
        <v>32.667418145956603</v>
      </c>
      <c r="D170">
        <v>76.393540631163603</v>
      </c>
      <c r="E170">
        <f t="shared" si="2"/>
        <v>820.27409241908697</v>
      </c>
    </row>
    <row r="171" spans="1:5" x14ac:dyDescent="0.2">
      <c r="A171" t="s">
        <v>489</v>
      </c>
      <c r="B171" t="s">
        <v>494</v>
      </c>
      <c r="C171">
        <v>31.676684810126499</v>
      </c>
      <c r="D171">
        <v>76.497670886075895</v>
      </c>
      <c r="E171">
        <f t="shared" si="2"/>
        <v>715.59082305428967</v>
      </c>
    </row>
    <row r="172" spans="1:5" x14ac:dyDescent="0.2">
      <c r="A172" t="s">
        <v>489</v>
      </c>
      <c r="B172" t="s">
        <v>497</v>
      </c>
      <c r="C172">
        <v>32.140936032388602</v>
      </c>
      <c r="D172">
        <v>76.412059109311699</v>
      </c>
      <c r="E172">
        <f t="shared" si="2"/>
        <v>763.61313801176311</v>
      </c>
    </row>
    <row r="173" spans="1:5" x14ac:dyDescent="0.2">
      <c r="A173" t="s">
        <v>489</v>
      </c>
      <c r="B173" t="s">
        <v>500</v>
      </c>
      <c r="C173">
        <v>31.606671840659299</v>
      </c>
      <c r="D173">
        <v>78.516137362637394</v>
      </c>
      <c r="E173">
        <f t="shared" si="2"/>
        <v>782.07455309916122</v>
      </c>
    </row>
    <row r="174" spans="1:5" x14ac:dyDescent="0.2">
      <c r="A174" t="s">
        <v>489</v>
      </c>
      <c r="B174" t="s">
        <v>503</v>
      </c>
      <c r="C174">
        <v>31.9091192207792</v>
      </c>
      <c r="D174">
        <v>77.409226493506395</v>
      </c>
      <c r="E174">
        <f t="shared" si="2"/>
        <v>767.14190425523077</v>
      </c>
    </row>
    <row r="175" spans="1:5" x14ac:dyDescent="0.2">
      <c r="A175" t="s">
        <v>489</v>
      </c>
      <c r="B175" t="s">
        <v>506</v>
      </c>
      <c r="C175">
        <v>32.5171703065133</v>
      </c>
      <c r="D175">
        <v>77.624709770114904</v>
      </c>
      <c r="E175">
        <f t="shared" si="2"/>
        <v>837.51344885505557</v>
      </c>
    </row>
    <row r="176" spans="1:5" x14ac:dyDescent="0.2">
      <c r="A176" t="s">
        <v>489</v>
      </c>
      <c r="B176" t="s">
        <v>509</v>
      </c>
      <c r="C176">
        <v>31.635805940594</v>
      </c>
      <c r="D176">
        <v>76.965569306930604</v>
      </c>
      <c r="E176">
        <f t="shared" si="2"/>
        <v>724.19354249937908</v>
      </c>
    </row>
    <row r="177" spans="1:5" x14ac:dyDescent="0.2">
      <c r="A177" t="s">
        <v>489</v>
      </c>
      <c r="B177" t="s">
        <v>512</v>
      </c>
      <c r="C177">
        <v>31.1557254518072</v>
      </c>
      <c r="D177">
        <v>77.625730421686598</v>
      </c>
      <c r="E177">
        <f t="shared" si="2"/>
        <v>698.34950423590521</v>
      </c>
    </row>
    <row r="178" spans="1:5" x14ac:dyDescent="0.2">
      <c r="A178" t="s">
        <v>489</v>
      </c>
      <c r="B178" t="s">
        <v>515</v>
      </c>
      <c r="C178">
        <v>30.682764453961401</v>
      </c>
      <c r="D178">
        <v>77.431846895074898</v>
      </c>
      <c r="E178">
        <f t="shared" si="2"/>
        <v>642.93765961504653</v>
      </c>
    </row>
    <row r="179" spans="1:5" x14ac:dyDescent="0.2">
      <c r="A179" t="s">
        <v>489</v>
      </c>
      <c r="B179" t="s">
        <v>518</v>
      </c>
      <c r="C179">
        <v>31.038643119265998</v>
      </c>
      <c r="D179">
        <v>76.944421406727798</v>
      </c>
      <c r="E179">
        <f t="shared" si="2"/>
        <v>660.99057368934837</v>
      </c>
    </row>
    <row r="180" spans="1:5" x14ac:dyDescent="0.2">
      <c r="A180" t="s">
        <v>489</v>
      </c>
      <c r="B180" t="s">
        <v>521</v>
      </c>
      <c r="C180">
        <v>31.583303883495098</v>
      </c>
      <c r="D180">
        <v>76.183539320388306</v>
      </c>
      <c r="E180">
        <f t="shared" si="2"/>
        <v>698.31914848875954</v>
      </c>
    </row>
    <row r="181" spans="1:5" x14ac:dyDescent="0.2">
      <c r="A181" t="s">
        <v>524</v>
      </c>
      <c r="B181" t="s">
        <v>525</v>
      </c>
      <c r="C181">
        <v>33.760272727272699</v>
      </c>
      <c r="D181">
        <v>75.303906060605996</v>
      </c>
      <c r="E181">
        <f t="shared" si="2"/>
        <v>926.14958306665778</v>
      </c>
    </row>
    <row r="182" spans="1:5" x14ac:dyDescent="0.2">
      <c r="A182" t="s">
        <v>524</v>
      </c>
      <c r="B182" t="s">
        <v>528</v>
      </c>
      <c r="C182">
        <v>33.932581132075399</v>
      </c>
      <c r="D182">
        <v>74.797981132075407</v>
      </c>
      <c r="E182">
        <f t="shared" si="2"/>
        <v>943.21063847407004</v>
      </c>
    </row>
    <row r="183" spans="1:5" x14ac:dyDescent="0.2">
      <c r="A183" t="s">
        <v>524</v>
      </c>
      <c r="B183" t="s">
        <v>531</v>
      </c>
      <c r="C183">
        <v>34.381253757225402</v>
      </c>
      <c r="D183">
        <v>74.763599421965296</v>
      </c>
      <c r="E183">
        <f t="shared" si="2"/>
        <v>993.04869824071568</v>
      </c>
    </row>
    <row r="184" spans="1:5" x14ac:dyDescent="0.2">
      <c r="A184" t="s">
        <v>524</v>
      </c>
      <c r="B184" t="s">
        <v>534</v>
      </c>
      <c r="C184">
        <v>33.359614675767901</v>
      </c>
      <c r="D184">
        <v>76.071637201365107</v>
      </c>
      <c r="E184">
        <f t="shared" si="2"/>
        <v>890.21831308177923</v>
      </c>
    </row>
    <row r="185" spans="1:5" x14ac:dyDescent="0.2">
      <c r="A185" t="s">
        <v>524</v>
      </c>
      <c r="B185" t="s">
        <v>537</v>
      </c>
      <c r="C185">
        <v>32.713199095022603</v>
      </c>
      <c r="D185">
        <v>74.847752036199097</v>
      </c>
      <c r="E185">
        <f t="shared" si="2"/>
        <v>807.7506637212673</v>
      </c>
    </row>
    <row r="186" spans="1:5" x14ac:dyDescent="0.2">
      <c r="A186" t="s">
        <v>524</v>
      </c>
      <c r="B186" t="s">
        <v>539</v>
      </c>
      <c r="C186">
        <v>33.565994894894899</v>
      </c>
      <c r="D186">
        <v>76.636753153153094</v>
      </c>
      <c r="E186">
        <f t="shared" si="2"/>
        <v>922.72538567153367</v>
      </c>
    </row>
    <row r="187" spans="1:5" x14ac:dyDescent="0.2">
      <c r="A187" t="s">
        <v>524</v>
      </c>
      <c r="B187" t="s">
        <v>542</v>
      </c>
      <c r="C187">
        <v>32.517816783216702</v>
      </c>
      <c r="D187">
        <v>75.589013986013995</v>
      </c>
      <c r="E187">
        <f t="shared" si="2"/>
        <v>791.16837078769947</v>
      </c>
    </row>
    <row r="188" spans="1:5" x14ac:dyDescent="0.2">
      <c r="A188" t="s">
        <v>524</v>
      </c>
      <c r="B188" t="s">
        <v>545</v>
      </c>
      <c r="C188">
        <v>34.599234736842099</v>
      </c>
      <c r="D188">
        <v>74.215876842105203</v>
      </c>
      <c r="E188">
        <f t="shared" si="2"/>
        <v>1018.0289830088984</v>
      </c>
    </row>
    <row r="189" spans="1:5" x14ac:dyDescent="0.2">
      <c r="A189" t="s">
        <v>524</v>
      </c>
      <c r="B189" t="s">
        <v>548</v>
      </c>
      <c r="C189">
        <v>33.585792202970197</v>
      </c>
      <c r="D189">
        <v>78.307259282178194</v>
      </c>
      <c r="E189">
        <f t="shared" si="2"/>
        <v>971.43952652900361</v>
      </c>
    </row>
    <row r="190" spans="1:5" x14ac:dyDescent="0.2">
      <c r="A190" t="s">
        <v>524</v>
      </c>
      <c r="B190" t="s">
        <v>551</v>
      </c>
      <c r="C190">
        <v>33.884144186046498</v>
      </c>
      <c r="D190">
        <v>75.009218604651096</v>
      </c>
      <c r="E190">
        <f t="shared" si="2"/>
        <v>938.37869141128056</v>
      </c>
    </row>
    <row r="191" spans="1:5" x14ac:dyDescent="0.2">
      <c r="A191" t="s">
        <v>524</v>
      </c>
      <c r="B191" t="s">
        <v>554</v>
      </c>
      <c r="C191">
        <v>33.791241290322503</v>
      </c>
      <c r="D191">
        <v>74.295931612903203</v>
      </c>
      <c r="E191">
        <f t="shared" si="2"/>
        <v>927.96284878350218</v>
      </c>
    </row>
    <row r="192" spans="1:5" x14ac:dyDescent="0.2">
      <c r="A192" t="s">
        <v>524</v>
      </c>
      <c r="B192" t="s">
        <v>557</v>
      </c>
      <c r="C192">
        <v>33.272321985815601</v>
      </c>
      <c r="D192">
        <v>74.407768794326202</v>
      </c>
      <c r="E192">
        <f t="shared" si="2"/>
        <v>869.95831216957129</v>
      </c>
    </row>
    <row r="193" spans="1:5" x14ac:dyDescent="0.2">
      <c r="A193" t="s">
        <v>524</v>
      </c>
      <c r="B193" t="s">
        <v>560</v>
      </c>
      <c r="C193">
        <v>34.273128985507199</v>
      </c>
      <c r="D193">
        <v>75.110211594202795</v>
      </c>
      <c r="E193">
        <f t="shared" si="2"/>
        <v>981.9996054242871</v>
      </c>
    </row>
    <row r="194" spans="1:5" x14ac:dyDescent="0.2">
      <c r="A194" t="s">
        <v>524</v>
      </c>
      <c r="B194" t="s">
        <v>563</v>
      </c>
      <c r="C194">
        <v>33.047706707316998</v>
      </c>
      <c r="D194">
        <v>75.152869512195096</v>
      </c>
      <c r="E194">
        <f t="shared" si="2"/>
        <v>846.15631400160862</v>
      </c>
    </row>
    <row r="195" spans="1:5" x14ac:dyDescent="0.2">
      <c r="A195" t="s">
        <v>566</v>
      </c>
      <c r="B195" t="s">
        <v>567</v>
      </c>
      <c r="C195">
        <v>23.681496503496501</v>
      </c>
      <c r="D195">
        <v>85.983983741258598</v>
      </c>
      <c r="E195">
        <f t="shared" ref="E195:E258" si="3">2*6371*ASIN(SQRT(
    SIN(RADIANS(C195-$L$4)/2)^2 +
    COS(RADIANS($L$4)) * COS(RADIANS(C195)) *
    SIN(RADIANS(D195-$L$5)/2)^2
))</f>
        <v>1163.6261146402737</v>
      </c>
    </row>
    <row r="196" spans="1:5" x14ac:dyDescent="0.2">
      <c r="A196" t="s">
        <v>566</v>
      </c>
      <c r="B196" t="s">
        <v>569</v>
      </c>
      <c r="C196">
        <v>24.1161994575045</v>
      </c>
      <c r="D196">
        <v>84.9329580470162</v>
      </c>
      <c r="E196">
        <f t="shared" si="3"/>
        <v>1049.4304654936445</v>
      </c>
    </row>
    <row r="197" spans="1:5" x14ac:dyDescent="0.2">
      <c r="A197" t="s">
        <v>566</v>
      </c>
      <c r="B197" t="s">
        <v>572</v>
      </c>
      <c r="C197">
        <v>24.330701007556701</v>
      </c>
      <c r="D197">
        <v>86.756976322418097</v>
      </c>
      <c r="E197">
        <f t="shared" si="3"/>
        <v>1228.1440391405879</v>
      </c>
    </row>
    <row r="198" spans="1:5" x14ac:dyDescent="0.2">
      <c r="A198" t="s">
        <v>566</v>
      </c>
      <c r="B198" t="s">
        <v>575</v>
      </c>
      <c r="C198">
        <v>23.854509090909001</v>
      </c>
      <c r="D198">
        <v>86.403729249011803</v>
      </c>
      <c r="E198">
        <f t="shared" si="3"/>
        <v>1201.652828713819</v>
      </c>
    </row>
    <row r="199" spans="1:5" x14ac:dyDescent="0.2">
      <c r="A199" t="s">
        <v>566</v>
      </c>
      <c r="B199" t="s">
        <v>578</v>
      </c>
      <c r="C199">
        <v>24.275006125574201</v>
      </c>
      <c r="D199">
        <v>87.276624502297096</v>
      </c>
      <c r="E199">
        <f t="shared" si="3"/>
        <v>1281.1447364119849</v>
      </c>
    </row>
    <row r="200" spans="1:5" x14ac:dyDescent="0.2">
      <c r="A200" t="s">
        <v>566</v>
      </c>
      <c r="B200" t="s">
        <v>581</v>
      </c>
      <c r="C200">
        <v>24.082114689265499</v>
      </c>
      <c r="D200">
        <v>83.686642655367194</v>
      </c>
      <c r="E200">
        <f t="shared" si="3"/>
        <v>925.86749376444095</v>
      </c>
    </row>
    <row r="201" spans="1:5" x14ac:dyDescent="0.2">
      <c r="A201" t="s">
        <v>566</v>
      </c>
      <c r="B201" t="s">
        <v>584</v>
      </c>
      <c r="C201">
        <v>24.3057850987432</v>
      </c>
      <c r="D201">
        <v>86.087109156193804</v>
      </c>
      <c r="E201">
        <f t="shared" si="3"/>
        <v>1161.426323990552</v>
      </c>
    </row>
    <row r="202" spans="1:5" x14ac:dyDescent="0.2">
      <c r="A202" t="s">
        <v>566</v>
      </c>
      <c r="B202" t="s">
        <v>587</v>
      </c>
      <c r="C202">
        <v>24.8188999999999</v>
      </c>
      <c r="D202">
        <v>87.294173548387107</v>
      </c>
      <c r="E202">
        <f t="shared" si="3"/>
        <v>1275.3547948239398</v>
      </c>
    </row>
    <row r="203" spans="1:5" x14ac:dyDescent="0.2">
      <c r="A203" t="s">
        <v>566</v>
      </c>
      <c r="B203" t="s">
        <v>589</v>
      </c>
      <c r="C203">
        <v>23.078532948929102</v>
      </c>
      <c r="D203">
        <v>84.550567874793899</v>
      </c>
      <c r="E203">
        <f t="shared" si="3"/>
        <v>1038.4472936890122</v>
      </c>
    </row>
    <row r="204" spans="1:5" x14ac:dyDescent="0.2">
      <c r="A204" t="s">
        <v>566</v>
      </c>
      <c r="B204" t="s">
        <v>592</v>
      </c>
      <c r="C204">
        <v>23.943241973969599</v>
      </c>
      <c r="D204">
        <v>85.494413123644193</v>
      </c>
      <c r="E204">
        <f t="shared" si="3"/>
        <v>1109.0167747504925</v>
      </c>
    </row>
    <row r="205" spans="1:5" x14ac:dyDescent="0.2">
      <c r="A205" t="s">
        <v>566</v>
      </c>
      <c r="B205" t="s">
        <v>595</v>
      </c>
      <c r="C205">
        <v>23.978733180778001</v>
      </c>
      <c r="D205">
        <v>86.953250800915299</v>
      </c>
      <c r="E205">
        <f t="shared" si="3"/>
        <v>1254.0647169493484</v>
      </c>
    </row>
    <row r="206" spans="1:5" x14ac:dyDescent="0.2">
      <c r="A206" t="s">
        <v>566</v>
      </c>
      <c r="B206" t="s">
        <v>598</v>
      </c>
      <c r="C206">
        <v>24.556719434628899</v>
      </c>
      <c r="D206">
        <v>85.7169091872792</v>
      </c>
      <c r="E206">
        <f t="shared" si="3"/>
        <v>1120.4057700071201</v>
      </c>
    </row>
    <row r="207" spans="1:5" x14ac:dyDescent="0.2">
      <c r="A207" t="s">
        <v>566</v>
      </c>
      <c r="B207" t="s">
        <v>600</v>
      </c>
      <c r="C207">
        <v>23.725111858407001</v>
      </c>
      <c r="D207">
        <v>84.482987433628296</v>
      </c>
      <c r="E207">
        <f t="shared" si="3"/>
        <v>1013.3654765957206</v>
      </c>
    </row>
    <row r="208" spans="1:5" x14ac:dyDescent="0.2">
      <c r="A208" t="s">
        <v>566</v>
      </c>
      <c r="B208" t="s">
        <v>603</v>
      </c>
      <c r="C208">
        <v>23.488796043165401</v>
      </c>
      <c r="D208">
        <v>84.660516906474797</v>
      </c>
      <c r="E208">
        <f t="shared" si="3"/>
        <v>1037.1142600596393</v>
      </c>
    </row>
    <row r="209" spans="1:5" x14ac:dyDescent="0.2">
      <c r="A209" t="s">
        <v>566</v>
      </c>
      <c r="B209" t="s">
        <v>605</v>
      </c>
      <c r="C209">
        <v>24.5726042808218</v>
      </c>
      <c r="D209">
        <v>87.696919691780707</v>
      </c>
      <c r="E209">
        <f t="shared" si="3"/>
        <v>1318.8512208920006</v>
      </c>
    </row>
    <row r="210" spans="1:5" x14ac:dyDescent="0.2">
      <c r="A210" t="s">
        <v>566</v>
      </c>
      <c r="B210" t="s">
        <v>608</v>
      </c>
      <c r="C210">
        <v>24.196925968109301</v>
      </c>
      <c r="D210">
        <v>84.203108428245898</v>
      </c>
      <c r="E210">
        <f t="shared" si="3"/>
        <v>974.96548737681985</v>
      </c>
    </row>
    <row r="211" spans="1:5" x14ac:dyDescent="0.2">
      <c r="A211" t="s">
        <v>566</v>
      </c>
      <c r="B211" t="s">
        <v>611</v>
      </c>
      <c r="C211">
        <v>22.399408487654298</v>
      </c>
      <c r="D211">
        <v>85.540984104938204</v>
      </c>
      <c r="E211">
        <f t="shared" si="3"/>
        <v>1158.3703800711335</v>
      </c>
    </row>
    <row r="212" spans="1:5" x14ac:dyDescent="0.2">
      <c r="A212" t="s">
        <v>566</v>
      </c>
      <c r="B212" t="s">
        <v>613</v>
      </c>
      <c r="C212">
        <v>22.591334362934301</v>
      </c>
      <c r="D212">
        <v>86.509101351351305</v>
      </c>
      <c r="E212">
        <f t="shared" si="3"/>
        <v>1246.2332724018788</v>
      </c>
    </row>
    <row r="213" spans="1:5" x14ac:dyDescent="0.2">
      <c r="A213" t="s">
        <v>566</v>
      </c>
      <c r="B213" t="s">
        <v>616</v>
      </c>
      <c r="C213">
        <v>23.184235061391501</v>
      </c>
      <c r="D213">
        <v>85.317819372442003</v>
      </c>
      <c r="E213">
        <f t="shared" si="3"/>
        <v>1110.6327385396544</v>
      </c>
    </row>
    <row r="214" spans="1:5" x14ac:dyDescent="0.2">
      <c r="A214" t="s">
        <v>566</v>
      </c>
      <c r="B214" t="s">
        <v>619</v>
      </c>
      <c r="C214">
        <v>24.936679896907201</v>
      </c>
      <c r="D214">
        <v>87.682640979381404</v>
      </c>
      <c r="E214">
        <f t="shared" si="3"/>
        <v>1313.0905437965384</v>
      </c>
    </row>
    <row r="215" spans="1:5" x14ac:dyDescent="0.2">
      <c r="A215" t="s">
        <v>566</v>
      </c>
      <c r="B215" t="s">
        <v>622</v>
      </c>
      <c r="C215">
        <v>22.855913921113601</v>
      </c>
      <c r="D215">
        <v>85.896149187934995</v>
      </c>
      <c r="E215">
        <f t="shared" si="3"/>
        <v>1177.5464199960318</v>
      </c>
    </row>
    <row r="216" spans="1:5" x14ac:dyDescent="0.2">
      <c r="A216" t="s">
        <v>566</v>
      </c>
      <c r="B216" t="s">
        <v>625</v>
      </c>
      <c r="C216">
        <v>22.608760391198</v>
      </c>
      <c r="D216">
        <v>84.591936919315302</v>
      </c>
      <c r="E216">
        <f t="shared" si="3"/>
        <v>1058.6565265831298</v>
      </c>
    </row>
    <row r="217" spans="1:5" x14ac:dyDescent="0.2">
      <c r="A217" t="s">
        <v>628</v>
      </c>
      <c r="B217" t="s">
        <v>629</v>
      </c>
      <c r="C217">
        <v>16.158606763285</v>
      </c>
      <c r="D217">
        <v>75.645260708534593</v>
      </c>
      <c r="E217">
        <f t="shared" si="3"/>
        <v>1038.5477854147614</v>
      </c>
    </row>
    <row r="218" spans="1:5" x14ac:dyDescent="0.2">
      <c r="A218" t="s">
        <v>628</v>
      </c>
      <c r="B218" t="s">
        <v>632</v>
      </c>
      <c r="C218">
        <v>12.9368270877944</v>
      </c>
      <c r="D218">
        <v>77.473693147751604</v>
      </c>
      <c r="E218">
        <f t="shared" si="3"/>
        <v>1422.838678985009</v>
      </c>
    </row>
    <row r="219" spans="1:5" x14ac:dyDescent="0.2">
      <c r="A219" t="s">
        <v>628</v>
      </c>
      <c r="B219" t="s">
        <v>635</v>
      </c>
      <c r="C219">
        <v>12.901924930747899</v>
      </c>
      <c r="D219">
        <v>77.586855955678601</v>
      </c>
      <c r="E219">
        <f t="shared" si="3"/>
        <v>1429.1532695007043</v>
      </c>
    </row>
    <row r="220" spans="1:5" x14ac:dyDescent="0.2">
      <c r="A220" t="s">
        <v>628</v>
      </c>
      <c r="B220" t="s">
        <v>638</v>
      </c>
      <c r="C220">
        <v>16.1610721915285</v>
      </c>
      <c r="D220">
        <v>74.723290423572706</v>
      </c>
      <c r="E220">
        <f t="shared" si="3"/>
        <v>1033.0514422917995</v>
      </c>
    </row>
    <row r="221" spans="1:5" x14ac:dyDescent="0.2">
      <c r="A221" t="s">
        <v>628</v>
      </c>
      <c r="B221" t="s">
        <v>641</v>
      </c>
      <c r="C221">
        <v>15.0743775482093</v>
      </c>
      <c r="D221">
        <v>76.472284710743693</v>
      </c>
      <c r="E221">
        <f t="shared" si="3"/>
        <v>1169.5214048123039</v>
      </c>
    </row>
    <row r="222" spans="1:5" x14ac:dyDescent="0.2">
      <c r="A222" t="s">
        <v>628</v>
      </c>
      <c r="B222" t="s">
        <v>644</v>
      </c>
      <c r="C222">
        <v>17.950361730769199</v>
      </c>
      <c r="D222">
        <v>77.194599615384504</v>
      </c>
      <c r="E222">
        <f t="shared" si="3"/>
        <v>874.74848536447439</v>
      </c>
    </row>
    <row r="223" spans="1:5" x14ac:dyDescent="0.2">
      <c r="A223" t="s">
        <v>628</v>
      </c>
      <c r="B223" t="s">
        <v>647</v>
      </c>
      <c r="C223">
        <v>16.8401531666666</v>
      </c>
      <c r="D223">
        <v>75.959091666666595</v>
      </c>
      <c r="E223">
        <f t="shared" si="3"/>
        <v>967.20871144881505</v>
      </c>
    </row>
    <row r="224" spans="1:5" x14ac:dyDescent="0.2">
      <c r="A224" t="s">
        <v>628</v>
      </c>
      <c r="B224" t="s">
        <v>650</v>
      </c>
      <c r="C224">
        <v>11.9524799999999</v>
      </c>
      <c r="D224">
        <v>77.023849599999906</v>
      </c>
      <c r="E224">
        <f t="shared" si="3"/>
        <v>1521.7230430273744</v>
      </c>
    </row>
    <row r="225" spans="1:5" x14ac:dyDescent="0.2">
      <c r="A225" t="s">
        <v>628</v>
      </c>
      <c r="B225" t="s">
        <v>653</v>
      </c>
      <c r="C225">
        <v>13.4252882896764</v>
      </c>
      <c r="D225">
        <v>75.676265023112407</v>
      </c>
      <c r="E225">
        <f t="shared" si="3"/>
        <v>1341.6097566598808</v>
      </c>
    </row>
    <row r="226" spans="1:5" x14ac:dyDescent="0.2">
      <c r="A226" t="s">
        <v>628</v>
      </c>
      <c r="B226" t="s">
        <v>656</v>
      </c>
      <c r="C226">
        <v>14.2910222039473</v>
      </c>
      <c r="D226">
        <v>76.578219572368397</v>
      </c>
      <c r="E226">
        <f t="shared" si="3"/>
        <v>1257.3353229393585</v>
      </c>
    </row>
    <row r="227" spans="1:5" x14ac:dyDescent="0.2">
      <c r="A227" t="s">
        <v>628</v>
      </c>
      <c r="B227" t="s">
        <v>659</v>
      </c>
      <c r="C227">
        <v>12.8912045481747</v>
      </c>
      <c r="D227">
        <v>74.962162776780204</v>
      </c>
      <c r="E227">
        <f t="shared" si="3"/>
        <v>1397.0164232472041</v>
      </c>
    </row>
    <row r="228" spans="1:5" x14ac:dyDescent="0.2">
      <c r="A228" t="s">
        <v>628</v>
      </c>
      <c r="B228" t="s">
        <v>662</v>
      </c>
      <c r="C228">
        <v>14.3304145867098</v>
      </c>
      <c r="D228">
        <v>75.917238411669302</v>
      </c>
      <c r="E228">
        <f t="shared" si="3"/>
        <v>1243.7398561590767</v>
      </c>
    </row>
    <row r="229" spans="1:5" x14ac:dyDescent="0.2">
      <c r="A229" t="s">
        <v>628</v>
      </c>
      <c r="B229" t="s">
        <v>665</v>
      </c>
      <c r="C229">
        <v>15.3438313769751</v>
      </c>
      <c r="D229">
        <v>75.138312641083502</v>
      </c>
      <c r="E229">
        <f t="shared" si="3"/>
        <v>1125.0853074191837</v>
      </c>
    </row>
    <row r="230" spans="1:5" x14ac:dyDescent="0.2">
      <c r="A230" t="s">
        <v>628</v>
      </c>
      <c r="B230" t="s">
        <v>668</v>
      </c>
      <c r="C230">
        <v>15.5071282568807</v>
      </c>
      <c r="D230">
        <v>75.648613027522899</v>
      </c>
      <c r="E230">
        <f t="shared" si="3"/>
        <v>1110.6977975893878</v>
      </c>
    </row>
    <row r="231" spans="1:5" x14ac:dyDescent="0.2">
      <c r="A231" t="s">
        <v>628</v>
      </c>
      <c r="B231" t="s">
        <v>671</v>
      </c>
      <c r="C231">
        <v>17.070459515951502</v>
      </c>
      <c r="D231">
        <v>76.875038503850305</v>
      </c>
      <c r="E231">
        <f t="shared" si="3"/>
        <v>960.18623993328663</v>
      </c>
    </row>
    <row r="232" spans="1:5" x14ac:dyDescent="0.2">
      <c r="A232" t="s">
        <v>628</v>
      </c>
      <c r="B232" t="s">
        <v>674</v>
      </c>
      <c r="C232">
        <v>12.9450987499999</v>
      </c>
      <c r="D232">
        <v>76.110495499999899</v>
      </c>
      <c r="E232">
        <f t="shared" si="3"/>
        <v>1399.1218091311052</v>
      </c>
    </row>
    <row r="233" spans="1:5" x14ac:dyDescent="0.2">
      <c r="A233" t="s">
        <v>628</v>
      </c>
      <c r="B233" t="s">
        <v>677</v>
      </c>
      <c r="C233">
        <v>14.7375828092243</v>
      </c>
      <c r="D233">
        <v>75.396123060796597</v>
      </c>
      <c r="E233">
        <f t="shared" si="3"/>
        <v>1193.9063742093695</v>
      </c>
    </row>
    <row r="234" spans="1:5" x14ac:dyDescent="0.2">
      <c r="A234" t="s">
        <v>628</v>
      </c>
      <c r="B234" t="s">
        <v>679</v>
      </c>
      <c r="C234">
        <v>12.396844680851</v>
      </c>
      <c r="D234">
        <v>75.793365957446795</v>
      </c>
      <c r="E234">
        <f t="shared" si="3"/>
        <v>1456.6134890976543</v>
      </c>
    </row>
    <row r="235" spans="1:5" x14ac:dyDescent="0.2">
      <c r="A235" t="s">
        <v>628</v>
      </c>
      <c r="B235" t="s">
        <v>682</v>
      </c>
      <c r="C235">
        <v>13.312799881235099</v>
      </c>
      <c r="D235">
        <v>78.013769477434707</v>
      </c>
      <c r="E235">
        <f t="shared" si="3"/>
        <v>1395.131738539143</v>
      </c>
    </row>
    <row r="236" spans="1:5" x14ac:dyDescent="0.2">
      <c r="A236" t="s">
        <v>628</v>
      </c>
      <c r="B236" t="s">
        <v>685</v>
      </c>
      <c r="C236">
        <v>15.651253271028001</v>
      </c>
      <c r="D236">
        <v>76.161704859813099</v>
      </c>
      <c r="E236">
        <f t="shared" si="3"/>
        <v>1101.1300475737773</v>
      </c>
    </row>
    <row r="237" spans="1:5" x14ac:dyDescent="0.2">
      <c r="A237" t="s">
        <v>628</v>
      </c>
      <c r="B237" t="s">
        <v>687</v>
      </c>
      <c r="C237">
        <v>12.5749018062397</v>
      </c>
      <c r="D237">
        <v>76.815700985221696</v>
      </c>
      <c r="E237">
        <f t="shared" si="3"/>
        <v>1449.8387512625216</v>
      </c>
    </row>
    <row r="238" spans="1:5" x14ac:dyDescent="0.2">
      <c r="A238" t="s">
        <v>628</v>
      </c>
      <c r="B238" t="s">
        <v>690</v>
      </c>
      <c r="C238">
        <v>12.2481002594033</v>
      </c>
      <c r="D238">
        <v>76.528818028534303</v>
      </c>
      <c r="E238">
        <f t="shared" si="3"/>
        <v>1481.4387183711601</v>
      </c>
    </row>
    <row r="239" spans="1:5" x14ac:dyDescent="0.2">
      <c r="A239" t="s">
        <v>628</v>
      </c>
      <c r="B239" t="s">
        <v>693</v>
      </c>
      <c r="C239">
        <v>16.050795353982199</v>
      </c>
      <c r="D239">
        <v>76.873686061946799</v>
      </c>
      <c r="E239">
        <f t="shared" si="3"/>
        <v>1070.7011423641925</v>
      </c>
    </row>
    <row r="240" spans="1:5" x14ac:dyDescent="0.2">
      <c r="A240" t="s">
        <v>628</v>
      </c>
      <c r="B240" t="s">
        <v>696</v>
      </c>
      <c r="C240">
        <v>14.0638458856345</v>
      </c>
      <c r="D240">
        <v>75.178820781031902</v>
      </c>
      <c r="E240">
        <f t="shared" si="3"/>
        <v>1267.4673337135005</v>
      </c>
    </row>
    <row r="241" spans="1:5" x14ac:dyDescent="0.2">
      <c r="A241" t="s">
        <v>628</v>
      </c>
      <c r="B241" t="s">
        <v>699</v>
      </c>
      <c r="C241">
        <v>13.5924677600749</v>
      </c>
      <c r="D241">
        <v>77.022979662605394</v>
      </c>
      <c r="E241">
        <f t="shared" si="3"/>
        <v>1341.9677360710805</v>
      </c>
    </row>
    <row r="242" spans="1:5" x14ac:dyDescent="0.2">
      <c r="A242" t="s">
        <v>628</v>
      </c>
      <c r="B242" t="s">
        <v>702</v>
      </c>
      <c r="C242">
        <v>13.4504042285345</v>
      </c>
      <c r="D242">
        <v>74.720099903163302</v>
      </c>
      <c r="E242">
        <f t="shared" si="3"/>
        <v>1334.4539872926193</v>
      </c>
    </row>
    <row r="243" spans="1:5" x14ac:dyDescent="0.2">
      <c r="A243" t="s">
        <v>628</v>
      </c>
      <c r="B243" t="s">
        <v>705</v>
      </c>
      <c r="C243">
        <v>14.5389579762442</v>
      </c>
      <c r="D243">
        <v>74.352290813411102</v>
      </c>
      <c r="E243">
        <f t="shared" si="3"/>
        <v>1213.7551443452542</v>
      </c>
    </row>
    <row r="244" spans="1:5" x14ac:dyDescent="0.2">
      <c r="A244" t="s">
        <v>708</v>
      </c>
      <c r="B244" t="s">
        <v>709</v>
      </c>
      <c r="C244">
        <v>9.5426029655990803</v>
      </c>
      <c r="D244">
        <v>76.380107962633105</v>
      </c>
      <c r="E244">
        <f t="shared" si="3"/>
        <v>1778.4802184354151</v>
      </c>
    </row>
    <row r="245" spans="1:5" x14ac:dyDescent="0.2">
      <c r="A245" t="s">
        <v>708</v>
      </c>
      <c r="B245" t="s">
        <v>712</v>
      </c>
      <c r="C245">
        <v>10.004879301987399</v>
      </c>
      <c r="D245">
        <v>76.269577290353794</v>
      </c>
      <c r="E245">
        <f t="shared" si="3"/>
        <v>1726.1395053473493</v>
      </c>
    </row>
    <row r="246" spans="1:5" x14ac:dyDescent="0.2">
      <c r="A246" t="s">
        <v>708</v>
      </c>
      <c r="B246" t="s">
        <v>715</v>
      </c>
      <c r="C246">
        <v>9.8048096385542305</v>
      </c>
      <c r="D246">
        <v>77.045866415662601</v>
      </c>
      <c r="E246">
        <f t="shared" si="3"/>
        <v>1758.2388087616953</v>
      </c>
    </row>
    <row r="247" spans="1:5" x14ac:dyDescent="0.2">
      <c r="A247" t="s">
        <v>708</v>
      </c>
      <c r="B247" t="s">
        <v>717</v>
      </c>
      <c r="C247">
        <v>11.941523076923</v>
      </c>
      <c r="D247">
        <v>75.352098917259298</v>
      </c>
      <c r="E247">
        <f t="shared" si="3"/>
        <v>1504.0695972041897</v>
      </c>
    </row>
    <row r="248" spans="1:5" x14ac:dyDescent="0.2">
      <c r="A248" t="s">
        <v>708</v>
      </c>
      <c r="B248" t="s">
        <v>720</v>
      </c>
      <c r="C248">
        <v>12.333103099129699</v>
      </c>
      <c r="D248">
        <v>75.077684971343601</v>
      </c>
      <c r="E248">
        <f t="shared" si="3"/>
        <v>1459.3896072703094</v>
      </c>
    </row>
    <row r="249" spans="1:5" x14ac:dyDescent="0.2">
      <c r="A249" t="s">
        <v>708</v>
      </c>
      <c r="B249" t="s">
        <v>723</v>
      </c>
      <c r="C249">
        <v>8.9293888205701499</v>
      </c>
      <c r="D249">
        <v>76.6360775852431</v>
      </c>
      <c r="E249">
        <f t="shared" si="3"/>
        <v>1849.2348651375937</v>
      </c>
    </row>
    <row r="250" spans="1:5" x14ac:dyDescent="0.2">
      <c r="A250" t="s">
        <v>708</v>
      </c>
      <c r="B250" t="s">
        <v>725</v>
      </c>
      <c r="C250">
        <v>9.6437011740684095</v>
      </c>
      <c r="D250">
        <v>76.460596733027003</v>
      </c>
      <c r="E250">
        <f t="shared" si="3"/>
        <v>1768.1986839656565</v>
      </c>
    </row>
    <row r="251" spans="1:5" x14ac:dyDescent="0.2">
      <c r="A251" t="s">
        <v>708</v>
      </c>
      <c r="B251" t="s">
        <v>728</v>
      </c>
      <c r="C251">
        <v>11.392924270557</v>
      </c>
      <c r="D251">
        <v>75.711587201591499</v>
      </c>
      <c r="E251">
        <f t="shared" si="3"/>
        <v>1567.2677440271455</v>
      </c>
    </row>
    <row r="252" spans="1:5" x14ac:dyDescent="0.2">
      <c r="A252" t="s">
        <v>708</v>
      </c>
      <c r="B252" t="s">
        <v>731</v>
      </c>
      <c r="C252">
        <v>10.9732987566607</v>
      </c>
      <c r="D252">
        <v>75.939107756068694</v>
      </c>
      <c r="E252">
        <f t="shared" si="3"/>
        <v>1615.6697152814806</v>
      </c>
    </row>
    <row r="253" spans="1:5" x14ac:dyDescent="0.2">
      <c r="A253" t="s">
        <v>708</v>
      </c>
      <c r="B253" t="s">
        <v>734</v>
      </c>
      <c r="C253">
        <v>10.784926903553201</v>
      </c>
      <c r="D253">
        <v>76.499804906937399</v>
      </c>
      <c r="E253">
        <f t="shared" si="3"/>
        <v>1642.537686758732</v>
      </c>
    </row>
    <row r="254" spans="1:5" x14ac:dyDescent="0.2">
      <c r="A254" t="s">
        <v>708</v>
      </c>
      <c r="B254" t="s">
        <v>737</v>
      </c>
      <c r="C254">
        <v>9.2913123931624</v>
      </c>
      <c r="D254">
        <v>76.8641232905983</v>
      </c>
      <c r="E254">
        <f t="shared" si="3"/>
        <v>1812.2077782589638</v>
      </c>
    </row>
    <row r="255" spans="1:5" x14ac:dyDescent="0.2">
      <c r="A255" t="s">
        <v>708</v>
      </c>
      <c r="B255" t="s">
        <v>740</v>
      </c>
      <c r="C255">
        <v>8.5371017590822191</v>
      </c>
      <c r="D255">
        <v>76.887115028680697</v>
      </c>
      <c r="E255">
        <f t="shared" si="3"/>
        <v>1895.7474428900869</v>
      </c>
    </row>
    <row r="256" spans="1:5" x14ac:dyDescent="0.2">
      <c r="A256" t="s">
        <v>708</v>
      </c>
      <c r="B256" t="s">
        <v>743</v>
      </c>
      <c r="C256">
        <v>10.4589326479076</v>
      </c>
      <c r="D256">
        <v>76.123219408369394</v>
      </c>
      <c r="E256">
        <f t="shared" si="3"/>
        <v>1674.3803619641308</v>
      </c>
    </row>
    <row r="257" spans="1:5" x14ac:dyDescent="0.2">
      <c r="A257" t="s">
        <v>708</v>
      </c>
      <c r="B257" t="s">
        <v>746</v>
      </c>
      <c r="C257">
        <v>11.7152774647887</v>
      </c>
      <c r="D257">
        <v>76.075870070422496</v>
      </c>
      <c r="E257">
        <f t="shared" si="3"/>
        <v>1534.8012711214528</v>
      </c>
    </row>
    <row r="258" spans="1:5" x14ac:dyDescent="0.2">
      <c r="A258" t="s">
        <v>749</v>
      </c>
      <c r="B258" t="s">
        <v>750</v>
      </c>
      <c r="C258">
        <v>10.4363905266015</v>
      </c>
      <c r="D258">
        <v>72.829927442996706</v>
      </c>
      <c r="E258">
        <f t="shared" si="3"/>
        <v>1680.4262453271649</v>
      </c>
    </row>
    <row r="259" spans="1:5" x14ac:dyDescent="0.2">
      <c r="A259" t="s">
        <v>753</v>
      </c>
      <c r="B259" t="s">
        <v>754</v>
      </c>
      <c r="C259">
        <v>23.181842204300999</v>
      </c>
      <c r="D259">
        <v>81.865600000000001</v>
      </c>
      <c r="E259">
        <f t="shared" ref="E259:E322" si="4">2*6371*ASIN(SQRT(
    SIN(RADIANS(C259-$L$4)/2)^2 +
    COS(RADIANS($L$4)) * COS(RADIANS(C259)) *
    SIN(RADIANS(D259-$L$5)/2)^2
))</f>
        <v>774.33536922713108</v>
      </c>
    </row>
    <row r="260" spans="1:5" x14ac:dyDescent="0.2">
      <c r="A260" t="s">
        <v>753</v>
      </c>
      <c r="B260" t="s">
        <v>757</v>
      </c>
      <c r="C260">
        <v>24.630988461538401</v>
      </c>
      <c r="D260">
        <v>77.829744939271293</v>
      </c>
      <c r="E260">
        <f t="shared" si="4"/>
        <v>334.07590404643679</v>
      </c>
    </row>
    <row r="261" spans="1:5" x14ac:dyDescent="0.2">
      <c r="A261" t="s">
        <v>753</v>
      </c>
      <c r="B261" t="s">
        <v>760</v>
      </c>
      <c r="C261">
        <v>21.800207206405599</v>
      </c>
      <c r="D261">
        <v>80.421700533807893</v>
      </c>
      <c r="E261">
        <f t="shared" si="4"/>
        <v>715.24586338799327</v>
      </c>
    </row>
    <row r="262" spans="1:5" x14ac:dyDescent="0.2">
      <c r="A262" t="s">
        <v>753</v>
      </c>
      <c r="B262" t="s">
        <v>763</v>
      </c>
      <c r="C262">
        <v>21.702135714285699</v>
      </c>
      <c r="D262">
        <v>74.910047197106707</v>
      </c>
      <c r="E262">
        <f t="shared" si="4"/>
        <v>417.78714324079533</v>
      </c>
    </row>
    <row r="263" spans="1:5" x14ac:dyDescent="0.2">
      <c r="A263" t="s">
        <v>753</v>
      </c>
      <c r="B263" t="s">
        <v>766</v>
      </c>
      <c r="C263">
        <v>21.964626315789399</v>
      </c>
      <c r="D263">
        <v>77.787342818911696</v>
      </c>
      <c r="E263">
        <f t="shared" si="4"/>
        <v>502.9518062503069</v>
      </c>
    </row>
    <row r="264" spans="1:5" x14ac:dyDescent="0.2">
      <c r="A264" t="s">
        <v>753</v>
      </c>
      <c r="B264" t="s">
        <v>768</v>
      </c>
      <c r="C264">
        <v>26.359511261872399</v>
      </c>
      <c r="D264">
        <v>78.761832428765302</v>
      </c>
      <c r="E264">
        <f t="shared" si="4"/>
        <v>424.4914031184332</v>
      </c>
    </row>
    <row r="265" spans="1:5" x14ac:dyDescent="0.2">
      <c r="A265" t="s">
        <v>753</v>
      </c>
      <c r="B265" t="s">
        <v>770</v>
      </c>
      <c r="C265">
        <v>23.4807261437908</v>
      </c>
      <c r="D265">
        <v>77.392466230936705</v>
      </c>
      <c r="E265">
        <f t="shared" si="4"/>
        <v>354.44056714901518</v>
      </c>
    </row>
    <row r="266" spans="1:5" x14ac:dyDescent="0.2">
      <c r="A266" t="s">
        <v>753</v>
      </c>
      <c r="B266" t="s">
        <v>773</v>
      </c>
      <c r="C266">
        <v>21.364567254408001</v>
      </c>
      <c r="D266">
        <v>76.244604785894197</v>
      </c>
      <c r="E266">
        <f t="shared" si="4"/>
        <v>483.0123322724499</v>
      </c>
    </row>
    <row r="267" spans="1:5" x14ac:dyDescent="0.2">
      <c r="A267" t="s">
        <v>753</v>
      </c>
      <c r="B267" t="s">
        <v>776</v>
      </c>
      <c r="C267">
        <v>24.813637376460001</v>
      </c>
      <c r="D267">
        <v>79.564492991913696</v>
      </c>
      <c r="E267">
        <f t="shared" si="4"/>
        <v>500.80280441871508</v>
      </c>
    </row>
    <row r="268" spans="1:5" x14ac:dyDescent="0.2">
      <c r="A268" t="s">
        <v>753</v>
      </c>
      <c r="B268" t="s">
        <v>779</v>
      </c>
      <c r="C268">
        <v>22.227966971713801</v>
      </c>
      <c r="D268">
        <v>78.764131364392497</v>
      </c>
      <c r="E268">
        <f t="shared" si="4"/>
        <v>551.68647469770519</v>
      </c>
    </row>
    <row r="269" spans="1:5" x14ac:dyDescent="0.2">
      <c r="A269" t="s">
        <v>753</v>
      </c>
      <c r="B269" t="s">
        <v>782</v>
      </c>
      <c r="C269">
        <v>23.766244079601901</v>
      </c>
      <c r="D269">
        <v>79.470493034825793</v>
      </c>
      <c r="E269">
        <f t="shared" si="4"/>
        <v>523.04769328484099</v>
      </c>
    </row>
    <row r="270" spans="1:5" x14ac:dyDescent="0.2">
      <c r="A270" t="s">
        <v>753</v>
      </c>
      <c r="B270" t="s">
        <v>785</v>
      </c>
      <c r="C270">
        <v>25.902264395604401</v>
      </c>
      <c r="D270">
        <v>78.639165714285696</v>
      </c>
      <c r="E270">
        <f t="shared" si="4"/>
        <v>403.93696335324279</v>
      </c>
    </row>
    <row r="271" spans="1:5" x14ac:dyDescent="0.2">
      <c r="A271" t="s">
        <v>753</v>
      </c>
      <c r="B271" t="s">
        <v>788</v>
      </c>
      <c r="C271">
        <v>22.785111002132201</v>
      </c>
      <c r="D271">
        <v>76.460888059701503</v>
      </c>
      <c r="E271">
        <f t="shared" si="4"/>
        <v>349.35019250675828</v>
      </c>
    </row>
    <row r="272" spans="1:5" x14ac:dyDescent="0.2">
      <c r="A272" t="s">
        <v>753</v>
      </c>
      <c r="B272" t="s">
        <v>790</v>
      </c>
      <c r="C272">
        <v>22.5726817189631</v>
      </c>
      <c r="D272">
        <v>75.110562073669797</v>
      </c>
      <c r="E272">
        <f t="shared" si="4"/>
        <v>323.6319876499831</v>
      </c>
    </row>
    <row r="273" spans="1:5" x14ac:dyDescent="0.2">
      <c r="A273" t="s">
        <v>753</v>
      </c>
      <c r="B273" t="s">
        <v>792</v>
      </c>
      <c r="C273">
        <v>22.837384370477501</v>
      </c>
      <c r="D273">
        <v>81.043329667149095</v>
      </c>
      <c r="E273">
        <f t="shared" si="4"/>
        <v>711.68768683259509</v>
      </c>
    </row>
    <row r="274" spans="1:5" x14ac:dyDescent="0.2">
      <c r="A274" t="s">
        <v>753</v>
      </c>
      <c r="B274" t="s">
        <v>795</v>
      </c>
      <c r="C274">
        <v>22.098985600706602</v>
      </c>
      <c r="D274">
        <v>76.558055035335499</v>
      </c>
      <c r="E274">
        <f t="shared" si="4"/>
        <v>420.76043773102822</v>
      </c>
    </row>
    <row r="275" spans="1:5" x14ac:dyDescent="0.2">
      <c r="A275" t="s">
        <v>753</v>
      </c>
      <c r="B275" t="s">
        <v>798</v>
      </c>
      <c r="C275">
        <v>24.490439271781501</v>
      </c>
      <c r="D275">
        <v>77.223589596879094</v>
      </c>
      <c r="E275">
        <f t="shared" si="4"/>
        <v>281.52872785858278</v>
      </c>
    </row>
    <row r="276" spans="1:5" x14ac:dyDescent="0.2">
      <c r="A276" t="s">
        <v>753</v>
      </c>
      <c r="B276" t="s">
        <v>800</v>
      </c>
      <c r="C276">
        <v>26.040744419642799</v>
      </c>
      <c r="D276">
        <v>78.1278243303571</v>
      </c>
      <c r="E276">
        <f t="shared" si="4"/>
        <v>355.46492043276942</v>
      </c>
    </row>
    <row r="277" spans="1:5" x14ac:dyDescent="0.2">
      <c r="A277" t="s">
        <v>753</v>
      </c>
      <c r="B277" t="s">
        <v>803</v>
      </c>
      <c r="C277">
        <v>22.227659781121702</v>
      </c>
      <c r="D277">
        <v>77.070225718194294</v>
      </c>
      <c r="E277">
        <f t="shared" si="4"/>
        <v>435.40088239306829</v>
      </c>
    </row>
    <row r="278" spans="1:5" x14ac:dyDescent="0.2">
      <c r="A278" t="s">
        <v>753</v>
      </c>
      <c r="B278" t="s">
        <v>806</v>
      </c>
      <c r="C278">
        <v>22.595268801996699</v>
      </c>
      <c r="D278">
        <v>78.021680948419203</v>
      </c>
      <c r="E278">
        <f t="shared" si="4"/>
        <v>467.76098375644233</v>
      </c>
    </row>
    <row r="279" spans="1:5" x14ac:dyDescent="0.2">
      <c r="A279" t="s">
        <v>753</v>
      </c>
      <c r="B279" t="s">
        <v>809</v>
      </c>
      <c r="C279">
        <v>22.680265752128602</v>
      </c>
      <c r="D279">
        <v>75.9133801324502</v>
      </c>
      <c r="E279">
        <f t="shared" si="4"/>
        <v>334.15152403735061</v>
      </c>
    </row>
    <row r="280" spans="1:5" x14ac:dyDescent="0.2">
      <c r="A280" t="s">
        <v>753</v>
      </c>
      <c r="B280" t="s">
        <v>811</v>
      </c>
      <c r="C280">
        <v>23.185255723270402</v>
      </c>
      <c r="D280">
        <v>79.983287547169795</v>
      </c>
      <c r="E280">
        <f t="shared" si="4"/>
        <v>597.15146732269022</v>
      </c>
    </row>
    <row r="281" spans="1:5" x14ac:dyDescent="0.2">
      <c r="A281" t="s">
        <v>753</v>
      </c>
      <c r="B281" t="s">
        <v>814</v>
      </c>
      <c r="C281">
        <v>22.4195780153977</v>
      </c>
      <c r="D281">
        <v>74.409216167664596</v>
      </c>
      <c r="E281">
        <f t="shared" si="4"/>
        <v>337.91174072188034</v>
      </c>
    </row>
    <row r="282" spans="1:5" x14ac:dyDescent="0.2">
      <c r="A282" t="s">
        <v>753</v>
      </c>
      <c r="B282" t="s">
        <v>817</v>
      </c>
      <c r="C282">
        <v>23.724416229116901</v>
      </c>
      <c r="D282">
        <v>80.338196658711198</v>
      </c>
      <c r="E282">
        <f t="shared" si="4"/>
        <v>607.28742071147133</v>
      </c>
    </row>
    <row r="283" spans="1:5" x14ac:dyDescent="0.2">
      <c r="A283" t="s">
        <v>753</v>
      </c>
      <c r="B283" t="s">
        <v>820</v>
      </c>
      <c r="C283">
        <v>22.7034871244635</v>
      </c>
      <c r="D283">
        <v>80.386005436337499</v>
      </c>
      <c r="E283">
        <f t="shared" si="4"/>
        <v>658.43906192727536</v>
      </c>
    </row>
    <row r="284" spans="1:5" x14ac:dyDescent="0.2">
      <c r="A284" t="s">
        <v>753</v>
      </c>
      <c r="B284" t="s">
        <v>823</v>
      </c>
      <c r="C284">
        <v>24.192787640449399</v>
      </c>
      <c r="D284">
        <v>75.435886677367506</v>
      </c>
      <c r="E284">
        <f t="shared" si="4"/>
        <v>161.36873954334109</v>
      </c>
    </row>
    <row r="285" spans="1:5" x14ac:dyDescent="0.2">
      <c r="A285" t="s">
        <v>753</v>
      </c>
      <c r="B285" t="s">
        <v>826</v>
      </c>
      <c r="C285">
        <v>26.373135045317198</v>
      </c>
      <c r="D285">
        <v>77.884473413897197</v>
      </c>
      <c r="E285">
        <f t="shared" si="4"/>
        <v>340.34347958167888</v>
      </c>
    </row>
    <row r="286" spans="1:5" x14ac:dyDescent="0.2">
      <c r="A286" t="s">
        <v>753</v>
      </c>
      <c r="B286" t="s">
        <v>829</v>
      </c>
      <c r="C286">
        <v>22.951344683026502</v>
      </c>
      <c r="D286">
        <v>79.002024233129006</v>
      </c>
      <c r="E286">
        <f t="shared" si="4"/>
        <v>522.46716520788277</v>
      </c>
    </row>
    <row r="287" spans="1:5" x14ac:dyDescent="0.2">
      <c r="A287" t="s">
        <v>753</v>
      </c>
      <c r="B287" t="s">
        <v>831</v>
      </c>
      <c r="C287">
        <v>24.7031189333333</v>
      </c>
      <c r="D287">
        <v>75.066081866666593</v>
      </c>
      <c r="E287">
        <f t="shared" si="4"/>
        <v>93.623078198511791</v>
      </c>
    </row>
    <row r="288" spans="1:5" x14ac:dyDescent="0.2">
      <c r="A288" t="s">
        <v>753</v>
      </c>
      <c r="B288" t="s">
        <v>834</v>
      </c>
      <c r="C288">
        <v>24.451325840092601</v>
      </c>
      <c r="D288">
        <v>80.211330011587506</v>
      </c>
      <c r="E288">
        <f t="shared" si="4"/>
        <v>572.58302605699691</v>
      </c>
    </row>
    <row r="289" spans="1:5" x14ac:dyDescent="0.2">
      <c r="A289" t="s">
        <v>753</v>
      </c>
      <c r="B289" t="s">
        <v>837</v>
      </c>
      <c r="C289">
        <v>23.292518206521699</v>
      </c>
      <c r="D289">
        <v>78.163054959239005</v>
      </c>
      <c r="E289">
        <f t="shared" si="4"/>
        <v>430.06398805989568</v>
      </c>
    </row>
    <row r="290" spans="1:5" x14ac:dyDescent="0.2">
      <c r="A290" t="s">
        <v>753</v>
      </c>
      <c r="B290" t="s">
        <v>840</v>
      </c>
      <c r="C290">
        <v>23.785499026425502</v>
      </c>
      <c r="D290">
        <v>76.664312239221104</v>
      </c>
      <c r="E290">
        <f t="shared" si="4"/>
        <v>276.03652637598657</v>
      </c>
    </row>
    <row r="291" spans="1:5" x14ac:dyDescent="0.2">
      <c r="A291" t="s">
        <v>753</v>
      </c>
      <c r="B291" t="s">
        <v>843</v>
      </c>
      <c r="C291">
        <v>23.5035622905027</v>
      </c>
      <c r="D291">
        <v>75.148957821229004</v>
      </c>
      <c r="E291">
        <f t="shared" si="4"/>
        <v>222.61935742396022</v>
      </c>
    </row>
    <row r="292" spans="1:5" x14ac:dyDescent="0.2">
      <c r="A292" t="s">
        <v>753</v>
      </c>
      <c r="B292" t="s">
        <v>846</v>
      </c>
      <c r="C292">
        <v>24.861184625158799</v>
      </c>
      <c r="D292">
        <v>81.5757246505718</v>
      </c>
      <c r="E292">
        <f t="shared" si="4"/>
        <v>701.11601223213131</v>
      </c>
    </row>
    <row r="293" spans="1:5" x14ac:dyDescent="0.2">
      <c r="A293" t="s">
        <v>753</v>
      </c>
      <c r="B293" t="s">
        <v>849</v>
      </c>
      <c r="C293">
        <v>23.800318709677299</v>
      </c>
      <c r="D293">
        <v>78.719403577712697</v>
      </c>
      <c r="E293">
        <f t="shared" si="4"/>
        <v>451.38066800275169</v>
      </c>
    </row>
    <row r="294" spans="1:5" x14ac:dyDescent="0.2">
      <c r="A294" t="s">
        <v>753</v>
      </c>
      <c r="B294" t="s">
        <v>852</v>
      </c>
      <c r="C294">
        <v>24.627776217765</v>
      </c>
      <c r="D294">
        <v>80.755470487105896</v>
      </c>
      <c r="E294">
        <f t="shared" si="4"/>
        <v>622.85753219360492</v>
      </c>
    </row>
    <row r="295" spans="1:5" x14ac:dyDescent="0.2">
      <c r="A295" t="s">
        <v>753</v>
      </c>
      <c r="B295" t="s">
        <v>855</v>
      </c>
      <c r="C295">
        <v>22.929719967965799</v>
      </c>
      <c r="D295">
        <v>77.067802028830798</v>
      </c>
      <c r="E295">
        <f t="shared" si="4"/>
        <v>373.17591022776344</v>
      </c>
    </row>
    <row r="296" spans="1:5" x14ac:dyDescent="0.2">
      <c r="A296" t="s">
        <v>753</v>
      </c>
      <c r="B296" t="s">
        <v>858</v>
      </c>
      <c r="C296">
        <v>22.332304878048699</v>
      </c>
      <c r="D296">
        <v>79.6605386392811</v>
      </c>
      <c r="E296">
        <f t="shared" si="4"/>
        <v>617.03295850057748</v>
      </c>
    </row>
    <row r="297" spans="1:5" x14ac:dyDescent="0.2">
      <c r="A297" t="s">
        <v>753</v>
      </c>
      <c r="B297" t="s">
        <v>861</v>
      </c>
      <c r="C297">
        <v>23.4485986455981</v>
      </c>
      <c r="D297">
        <v>81.459683182844202</v>
      </c>
      <c r="E297">
        <f t="shared" si="4"/>
        <v>725.267934696162</v>
      </c>
    </row>
    <row r="298" spans="1:5" x14ac:dyDescent="0.2">
      <c r="A298" t="s">
        <v>753</v>
      </c>
      <c r="B298" t="s">
        <v>863</v>
      </c>
      <c r="C298">
        <v>23.566620317220501</v>
      </c>
      <c r="D298">
        <v>76.335551812688806</v>
      </c>
      <c r="E298">
        <f t="shared" si="4"/>
        <v>270.84322459440784</v>
      </c>
    </row>
    <row r="299" spans="1:5" x14ac:dyDescent="0.2">
      <c r="A299" t="s">
        <v>753</v>
      </c>
      <c r="B299" t="s">
        <v>866</v>
      </c>
      <c r="C299">
        <v>25.780148109965602</v>
      </c>
      <c r="D299">
        <v>77.169111168384802</v>
      </c>
      <c r="E299">
        <f t="shared" si="4"/>
        <v>256.25605667672215</v>
      </c>
    </row>
    <row r="300" spans="1:5" x14ac:dyDescent="0.2">
      <c r="A300" t="s">
        <v>753</v>
      </c>
      <c r="B300" t="s">
        <v>869</v>
      </c>
      <c r="C300">
        <v>25.378024518743601</v>
      </c>
      <c r="D300">
        <v>77.748616008105401</v>
      </c>
      <c r="E300">
        <f t="shared" si="4"/>
        <v>312.36268765442804</v>
      </c>
    </row>
    <row r="301" spans="1:5" x14ac:dyDescent="0.2">
      <c r="A301" t="s">
        <v>753</v>
      </c>
      <c r="B301" t="s">
        <v>872</v>
      </c>
      <c r="C301">
        <v>24.175471899529001</v>
      </c>
      <c r="D301">
        <v>82.105378335949794</v>
      </c>
      <c r="E301">
        <f t="shared" si="4"/>
        <v>766.64748708025297</v>
      </c>
    </row>
    <row r="302" spans="1:5" x14ac:dyDescent="0.2">
      <c r="A302" t="s">
        <v>753</v>
      </c>
      <c r="B302" t="s">
        <v>874</v>
      </c>
      <c r="C302">
        <v>25.140998521046601</v>
      </c>
      <c r="D302">
        <v>78.893570648464205</v>
      </c>
      <c r="E302">
        <f t="shared" si="4"/>
        <v>429.04524753200138</v>
      </c>
    </row>
    <row r="303" spans="1:5" x14ac:dyDescent="0.2">
      <c r="A303" t="s">
        <v>753</v>
      </c>
      <c r="B303" t="s">
        <v>877</v>
      </c>
      <c r="C303">
        <v>23.319288862745001</v>
      </c>
      <c r="D303">
        <v>75.803837176470495</v>
      </c>
      <c r="E303">
        <f t="shared" si="4"/>
        <v>264.76198254580078</v>
      </c>
    </row>
    <row r="304" spans="1:5" x14ac:dyDescent="0.2">
      <c r="A304" t="s">
        <v>753</v>
      </c>
      <c r="B304" t="s">
        <v>880</v>
      </c>
      <c r="C304">
        <v>23.596010630630602</v>
      </c>
      <c r="D304">
        <v>80.908794774774705</v>
      </c>
      <c r="E304">
        <f t="shared" si="4"/>
        <v>666.84003831016753</v>
      </c>
    </row>
    <row r="305" spans="1:5" x14ac:dyDescent="0.2">
      <c r="A305" t="s">
        <v>753</v>
      </c>
      <c r="B305" t="s">
        <v>883</v>
      </c>
      <c r="C305">
        <v>23.828383079847899</v>
      </c>
      <c r="D305">
        <v>77.901350760456296</v>
      </c>
      <c r="E305">
        <f t="shared" si="4"/>
        <v>375.80946870816507</v>
      </c>
    </row>
    <row r="306" spans="1:5" x14ac:dyDescent="0.2">
      <c r="A306" t="s">
        <v>753</v>
      </c>
      <c r="B306" t="s">
        <v>885</v>
      </c>
      <c r="C306">
        <v>22.027139999999999</v>
      </c>
      <c r="D306">
        <v>75.8734374248926</v>
      </c>
      <c r="E306">
        <f t="shared" si="4"/>
        <v>400.91057284617523</v>
      </c>
    </row>
    <row r="307" spans="1:5" x14ac:dyDescent="0.2">
      <c r="A307" t="s">
        <v>888</v>
      </c>
      <c r="B307" t="s">
        <v>889</v>
      </c>
      <c r="C307">
        <v>19.217599032017802</v>
      </c>
      <c r="D307">
        <v>74.692202606105695</v>
      </c>
      <c r="E307">
        <f t="shared" si="4"/>
        <v>693.16572725493461</v>
      </c>
    </row>
    <row r="308" spans="1:5" x14ac:dyDescent="0.2">
      <c r="A308" t="s">
        <v>888</v>
      </c>
      <c r="B308" t="s">
        <v>892</v>
      </c>
      <c r="C308">
        <v>20.746310479041899</v>
      </c>
      <c r="D308">
        <v>77.121223203592706</v>
      </c>
      <c r="E308">
        <f t="shared" si="4"/>
        <v>581.43805643022017</v>
      </c>
    </row>
    <row r="309" spans="1:5" x14ac:dyDescent="0.2">
      <c r="A309" t="s">
        <v>888</v>
      </c>
      <c r="B309" t="s">
        <v>895</v>
      </c>
      <c r="C309">
        <v>21.165209918107301</v>
      </c>
      <c r="D309">
        <v>77.6758350318472</v>
      </c>
      <c r="E309">
        <f t="shared" si="4"/>
        <v>568.50771958276528</v>
      </c>
    </row>
    <row r="310" spans="1:5" x14ac:dyDescent="0.2">
      <c r="A310" t="s">
        <v>888</v>
      </c>
      <c r="B310" t="s">
        <v>193</v>
      </c>
      <c r="C310">
        <v>20.097922883295102</v>
      </c>
      <c r="D310">
        <v>75.320721967963294</v>
      </c>
      <c r="E310">
        <f t="shared" si="4"/>
        <v>599.33613794651251</v>
      </c>
    </row>
    <row r="311" spans="1:5" x14ac:dyDescent="0.2">
      <c r="A311" t="s">
        <v>888</v>
      </c>
      <c r="B311" t="s">
        <v>900</v>
      </c>
      <c r="C311">
        <v>21.211792649727698</v>
      </c>
      <c r="D311">
        <v>80.109501996370199</v>
      </c>
      <c r="E311">
        <f t="shared" si="4"/>
        <v>730.67402562102245</v>
      </c>
    </row>
    <row r="312" spans="1:5" x14ac:dyDescent="0.2">
      <c r="A312" t="s">
        <v>888</v>
      </c>
      <c r="B312" t="s">
        <v>903</v>
      </c>
      <c r="C312">
        <v>18.952353340080901</v>
      </c>
      <c r="D312">
        <v>75.693197064777294</v>
      </c>
      <c r="E312">
        <f t="shared" si="4"/>
        <v>730.7227066566146</v>
      </c>
    </row>
    <row r="313" spans="1:5" x14ac:dyDescent="0.2">
      <c r="A313" t="s">
        <v>888</v>
      </c>
      <c r="B313" t="s">
        <v>906</v>
      </c>
      <c r="C313">
        <v>20.5668061118335</v>
      </c>
      <c r="D313">
        <v>76.390178803640893</v>
      </c>
      <c r="E313">
        <f t="shared" si="4"/>
        <v>571.88697717652906</v>
      </c>
    </row>
    <row r="314" spans="1:5" x14ac:dyDescent="0.2">
      <c r="A314" t="s">
        <v>888</v>
      </c>
      <c r="B314" t="s">
        <v>909</v>
      </c>
      <c r="C314">
        <v>20.095609090909001</v>
      </c>
      <c r="D314">
        <v>79.315563804713804</v>
      </c>
      <c r="E314">
        <f t="shared" si="4"/>
        <v>764.33532892899223</v>
      </c>
    </row>
    <row r="315" spans="1:5" x14ac:dyDescent="0.2">
      <c r="A315" t="s">
        <v>888</v>
      </c>
      <c r="B315" t="s">
        <v>912</v>
      </c>
      <c r="C315">
        <v>21.274018690400499</v>
      </c>
      <c r="D315">
        <v>74.587190718372597</v>
      </c>
      <c r="E315">
        <f t="shared" si="4"/>
        <v>464.51175282670653</v>
      </c>
    </row>
    <row r="316" spans="1:5" x14ac:dyDescent="0.2">
      <c r="A316" t="s">
        <v>888</v>
      </c>
      <c r="B316" t="s">
        <v>915</v>
      </c>
      <c r="C316">
        <v>19.795546096654199</v>
      </c>
      <c r="D316">
        <v>80.309655638166006</v>
      </c>
      <c r="E316">
        <f t="shared" si="4"/>
        <v>856.58149047644872</v>
      </c>
    </row>
    <row r="317" spans="1:5" x14ac:dyDescent="0.2">
      <c r="A317" t="s">
        <v>888</v>
      </c>
      <c r="B317" t="s">
        <v>918</v>
      </c>
      <c r="C317">
        <v>21.225008411214901</v>
      </c>
      <c r="D317">
        <v>80.175226985981197</v>
      </c>
      <c r="E317">
        <f t="shared" si="4"/>
        <v>734.84999603501376</v>
      </c>
    </row>
    <row r="318" spans="1:5" x14ac:dyDescent="0.2">
      <c r="A318" t="s">
        <v>888</v>
      </c>
      <c r="B318" t="s">
        <v>921</v>
      </c>
      <c r="C318">
        <v>19.0850697880269</v>
      </c>
      <c r="D318">
        <v>72.842619613324104</v>
      </c>
      <c r="E318">
        <f t="shared" si="4"/>
        <v>731.59448780196874</v>
      </c>
    </row>
    <row r="319" spans="1:5" x14ac:dyDescent="0.2">
      <c r="A319" t="s">
        <v>888</v>
      </c>
      <c r="B319" t="s">
        <v>924</v>
      </c>
      <c r="C319">
        <v>19.5952530224525</v>
      </c>
      <c r="D319">
        <v>77.0923941278065</v>
      </c>
      <c r="E319">
        <f t="shared" si="4"/>
        <v>698.13357396619074</v>
      </c>
    </row>
    <row r="320" spans="1:5" x14ac:dyDescent="0.2">
      <c r="A320" t="s">
        <v>888</v>
      </c>
      <c r="B320" t="s">
        <v>927</v>
      </c>
      <c r="C320">
        <v>20.882894341563802</v>
      </c>
      <c r="D320">
        <v>75.551404218106896</v>
      </c>
      <c r="E320">
        <f t="shared" si="4"/>
        <v>516.44886901767961</v>
      </c>
    </row>
    <row r="321" spans="1:5" x14ac:dyDescent="0.2">
      <c r="A321" t="s">
        <v>888</v>
      </c>
      <c r="B321" t="s">
        <v>929</v>
      </c>
      <c r="C321">
        <v>19.984612534818901</v>
      </c>
      <c r="D321">
        <v>75.984736072423303</v>
      </c>
      <c r="E321">
        <f t="shared" si="4"/>
        <v>623.30257404497218</v>
      </c>
    </row>
    <row r="322" spans="1:5" x14ac:dyDescent="0.2">
      <c r="A322" t="s">
        <v>888</v>
      </c>
      <c r="B322" t="s">
        <v>932</v>
      </c>
      <c r="C322">
        <v>16.448813015873</v>
      </c>
      <c r="D322">
        <v>74.128971507936399</v>
      </c>
      <c r="E322">
        <f t="shared" si="4"/>
        <v>1002.4181145551005</v>
      </c>
    </row>
    <row r="323" spans="1:5" x14ac:dyDescent="0.2">
      <c r="A323" t="s">
        <v>888</v>
      </c>
      <c r="B323" t="s">
        <v>935</v>
      </c>
      <c r="C323">
        <v>18.3486872689938</v>
      </c>
      <c r="D323">
        <v>76.758126078028695</v>
      </c>
      <c r="E323">
        <f t="shared" ref="E323:E386" si="5">2*6371*ASIN(SQRT(
    SIN(RADIANS(C323-$L$4)/2)^2 +
    COS(RADIANS($L$4)) * COS(RADIANS(C323)) *
    SIN(RADIANS(D323-$L$5)/2)^2
))</f>
        <v>819.39765542539419</v>
      </c>
    </row>
    <row r="324" spans="1:5" x14ac:dyDescent="0.2">
      <c r="A324" t="s">
        <v>888</v>
      </c>
      <c r="B324" t="s">
        <v>938</v>
      </c>
      <c r="C324">
        <v>21.196556862745101</v>
      </c>
      <c r="D324">
        <v>79.021661764705797</v>
      </c>
      <c r="E324">
        <f t="shared" si="5"/>
        <v>651.05892805275289</v>
      </c>
    </row>
    <row r="325" spans="1:5" x14ac:dyDescent="0.2">
      <c r="A325" t="s">
        <v>888</v>
      </c>
      <c r="B325" t="s">
        <v>941</v>
      </c>
      <c r="C325">
        <v>19.209316983017001</v>
      </c>
      <c r="D325">
        <v>77.682904895104897</v>
      </c>
      <c r="E325">
        <f t="shared" si="5"/>
        <v>761.29428909992987</v>
      </c>
    </row>
    <row r="326" spans="1:5" x14ac:dyDescent="0.2">
      <c r="A326" t="s">
        <v>888</v>
      </c>
      <c r="B326" t="s">
        <v>942</v>
      </c>
      <c r="C326">
        <v>21.523175625248101</v>
      </c>
      <c r="D326">
        <v>74.326387574434193</v>
      </c>
      <c r="E326">
        <f t="shared" si="5"/>
        <v>437.94091898218448</v>
      </c>
    </row>
    <row r="327" spans="1:5" x14ac:dyDescent="0.2">
      <c r="A327" t="s">
        <v>888</v>
      </c>
      <c r="B327" t="s">
        <v>945</v>
      </c>
      <c r="C327">
        <v>20.266912871287101</v>
      </c>
      <c r="D327">
        <v>74.038241683168195</v>
      </c>
      <c r="E327">
        <f t="shared" si="5"/>
        <v>579.74501459693147</v>
      </c>
    </row>
    <row r="328" spans="1:5" x14ac:dyDescent="0.2">
      <c r="A328" t="s">
        <v>888</v>
      </c>
      <c r="B328" t="s">
        <v>948</v>
      </c>
      <c r="C328">
        <v>18.194594560669401</v>
      </c>
      <c r="D328">
        <v>75.994955753138001</v>
      </c>
      <c r="E328">
        <f t="shared" si="5"/>
        <v>818.91547700401668</v>
      </c>
    </row>
    <row r="329" spans="1:5" x14ac:dyDescent="0.2">
      <c r="A329" t="s">
        <v>888</v>
      </c>
      <c r="B329" t="s">
        <v>951</v>
      </c>
      <c r="C329">
        <v>19.310324252491601</v>
      </c>
      <c r="D329">
        <v>76.701633388704295</v>
      </c>
      <c r="E329">
        <f t="shared" si="5"/>
        <v>714.94957575807814</v>
      </c>
    </row>
    <row r="330" spans="1:5" x14ac:dyDescent="0.2">
      <c r="A330" t="s">
        <v>888</v>
      </c>
      <c r="B330" t="s">
        <v>954</v>
      </c>
      <c r="C330">
        <v>18.516961714285699</v>
      </c>
      <c r="D330">
        <v>74.129228816326403</v>
      </c>
      <c r="E330">
        <f t="shared" si="5"/>
        <v>772.84144360294283</v>
      </c>
    </row>
    <row r="331" spans="1:5" x14ac:dyDescent="0.2">
      <c r="A331" t="s">
        <v>888</v>
      </c>
      <c r="B331" t="s">
        <v>330</v>
      </c>
      <c r="C331">
        <v>18.453257637845901</v>
      </c>
      <c r="D331">
        <v>73.009060941857896</v>
      </c>
      <c r="E331">
        <f t="shared" si="5"/>
        <v>796.06304121118933</v>
      </c>
    </row>
    <row r="332" spans="1:5" x14ac:dyDescent="0.2">
      <c r="A332" t="s">
        <v>888</v>
      </c>
      <c r="B332" t="s">
        <v>958</v>
      </c>
      <c r="C332">
        <v>17.2101950701277</v>
      </c>
      <c r="D332">
        <v>73.257258938663995</v>
      </c>
      <c r="E332">
        <f t="shared" si="5"/>
        <v>927.44620742544225</v>
      </c>
    </row>
    <row r="333" spans="1:5" x14ac:dyDescent="0.2">
      <c r="A333" t="s">
        <v>888</v>
      </c>
      <c r="B333" t="s">
        <v>961</v>
      </c>
      <c r="C333">
        <v>17.154930181086499</v>
      </c>
      <c r="D333">
        <v>74.707138229376199</v>
      </c>
      <c r="E333">
        <f t="shared" si="5"/>
        <v>922.52941874099201</v>
      </c>
    </row>
    <row r="334" spans="1:5" x14ac:dyDescent="0.2">
      <c r="A334" t="s">
        <v>888</v>
      </c>
      <c r="B334" t="s">
        <v>964</v>
      </c>
      <c r="C334">
        <v>17.6737908974359</v>
      </c>
      <c r="D334">
        <v>74.180520641025495</v>
      </c>
      <c r="E334">
        <f t="shared" si="5"/>
        <v>866.1066577295901</v>
      </c>
    </row>
    <row r="335" spans="1:5" x14ac:dyDescent="0.2">
      <c r="A335" t="s">
        <v>888</v>
      </c>
      <c r="B335" t="s">
        <v>966</v>
      </c>
      <c r="C335">
        <v>16.170948049777099</v>
      </c>
      <c r="D335">
        <v>73.513290081723397</v>
      </c>
      <c r="E335">
        <f t="shared" si="5"/>
        <v>1038.5138927707026</v>
      </c>
    </row>
    <row r="336" spans="1:5" x14ac:dyDescent="0.2">
      <c r="A336" t="s">
        <v>888</v>
      </c>
      <c r="B336" t="s">
        <v>969</v>
      </c>
      <c r="C336">
        <v>17.837357937584802</v>
      </c>
      <c r="D336">
        <v>75.423948236092102</v>
      </c>
      <c r="E336">
        <f t="shared" si="5"/>
        <v>850.48547766427953</v>
      </c>
    </row>
    <row r="337" spans="1:5" x14ac:dyDescent="0.2">
      <c r="A337" t="s">
        <v>888</v>
      </c>
      <c r="B337" t="s">
        <v>972</v>
      </c>
      <c r="C337">
        <v>19.698767747440201</v>
      </c>
      <c r="D337">
        <v>72.798827425645797</v>
      </c>
      <c r="E337">
        <f t="shared" si="5"/>
        <v>666.94171719051769</v>
      </c>
    </row>
    <row r="338" spans="1:5" x14ac:dyDescent="0.2">
      <c r="A338" t="s">
        <v>888</v>
      </c>
      <c r="B338" t="s">
        <v>975</v>
      </c>
      <c r="C338">
        <v>20.807430243902399</v>
      </c>
      <c r="D338">
        <v>78.572591056910596</v>
      </c>
      <c r="E338">
        <f t="shared" si="5"/>
        <v>654.40077759008398</v>
      </c>
    </row>
    <row r="339" spans="1:5" x14ac:dyDescent="0.2">
      <c r="A339" t="s">
        <v>888</v>
      </c>
      <c r="B339" t="s">
        <v>978</v>
      </c>
      <c r="C339">
        <v>20.282282394366199</v>
      </c>
      <c r="D339">
        <v>77.255023943661996</v>
      </c>
      <c r="E339">
        <f t="shared" si="5"/>
        <v>634.09939866719446</v>
      </c>
    </row>
    <row r="340" spans="1:5" x14ac:dyDescent="0.2">
      <c r="A340" t="s">
        <v>888</v>
      </c>
      <c r="B340" t="s">
        <v>981</v>
      </c>
      <c r="C340">
        <v>20.042583467381501</v>
      </c>
      <c r="D340">
        <v>78.053263717604693</v>
      </c>
      <c r="E340">
        <f t="shared" si="5"/>
        <v>695.77311536176342</v>
      </c>
    </row>
    <row r="341" spans="1:5" x14ac:dyDescent="0.2">
      <c r="A341" t="s">
        <v>984</v>
      </c>
      <c r="B341" t="s">
        <v>985</v>
      </c>
      <c r="C341">
        <v>24.5071211180124</v>
      </c>
      <c r="D341">
        <v>93.824623602484493</v>
      </c>
      <c r="E341">
        <f t="shared" si="5"/>
        <v>1934.9341096537626</v>
      </c>
    </row>
    <row r="342" spans="1:5" x14ac:dyDescent="0.2">
      <c r="A342" t="s">
        <v>984</v>
      </c>
      <c r="B342" t="s">
        <v>987</v>
      </c>
      <c r="C342">
        <v>24.2635812987013</v>
      </c>
      <c r="D342">
        <v>94.094438441558395</v>
      </c>
      <c r="E342">
        <f t="shared" si="5"/>
        <v>1965.5802944633767</v>
      </c>
    </row>
    <row r="343" spans="1:5" x14ac:dyDescent="0.2">
      <c r="A343" t="s">
        <v>984</v>
      </c>
      <c r="B343" t="s">
        <v>989</v>
      </c>
      <c r="C343">
        <v>24.303097188755</v>
      </c>
      <c r="D343">
        <v>93.386715060240803</v>
      </c>
      <c r="E343">
        <f t="shared" si="5"/>
        <v>1893.9214678955148</v>
      </c>
    </row>
    <row r="344" spans="1:5" x14ac:dyDescent="0.2">
      <c r="A344" t="s">
        <v>984</v>
      </c>
      <c r="B344" t="s">
        <v>992</v>
      </c>
      <c r="C344">
        <v>24.821058072289102</v>
      </c>
      <c r="D344">
        <v>93.669512048192601</v>
      </c>
      <c r="E344">
        <f t="shared" si="5"/>
        <v>1915.3197624959012</v>
      </c>
    </row>
    <row r="345" spans="1:5" x14ac:dyDescent="0.2">
      <c r="A345" t="s">
        <v>984</v>
      </c>
      <c r="B345" t="s">
        <v>995</v>
      </c>
      <c r="C345">
        <v>25.084655860349098</v>
      </c>
      <c r="D345">
        <v>94.033662344139501</v>
      </c>
      <c r="E345">
        <f t="shared" si="5"/>
        <v>1948.9100908896855</v>
      </c>
    </row>
    <row r="346" spans="1:5" x14ac:dyDescent="0.2">
      <c r="A346" t="s">
        <v>984</v>
      </c>
      <c r="B346" t="s">
        <v>998</v>
      </c>
      <c r="C346">
        <v>24.9831294223826</v>
      </c>
      <c r="D346">
        <v>93.494507400722</v>
      </c>
      <c r="E346">
        <f t="shared" si="5"/>
        <v>1895.9169123192626</v>
      </c>
    </row>
    <row r="347" spans="1:5" x14ac:dyDescent="0.2">
      <c r="A347" t="s">
        <v>984</v>
      </c>
      <c r="B347" t="s">
        <v>1001</v>
      </c>
      <c r="C347">
        <v>24.545392553191402</v>
      </c>
      <c r="D347">
        <v>93.979598936170206</v>
      </c>
      <c r="E347">
        <f t="shared" si="5"/>
        <v>1949.9650106652296</v>
      </c>
    </row>
    <row r="348" spans="1:5" x14ac:dyDescent="0.2">
      <c r="A348" t="s">
        <v>984</v>
      </c>
      <c r="B348" t="s">
        <v>1004</v>
      </c>
      <c r="C348">
        <v>25.059003149606198</v>
      </c>
      <c r="D348">
        <v>94.441295669291307</v>
      </c>
      <c r="E348">
        <f t="shared" si="5"/>
        <v>1990.051724803121</v>
      </c>
    </row>
    <row r="349" spans="1:5" x14ac:dyDescent="0.2">
      <c r="A349" t="s">
        <v>984</v>
      </c>
      <c r="B349" t="s">
        <v>1007</v>
      </c>
      <c r="C349">
        <v>24.7940055865921</v>
      </c>
      <c r="D349">
        <v>93.888590502793207</v>
      </c>
      <c r="E349">
        <f t="shared" si="5"/>
        <v>1937.6278136280134</v>
      </c>
    </row>
    <row r="350" spans="1:5" x14ac:dyDescent="0.2">
      <c r="A350" t="s">
        <v>1010</v>
      </c>
      <c r="B350" t="s">
        <v>1011</v>
      </c>
      <c r="C350">
        <v>25.827282282282201</v>
      </c>
      <c r="D350">
        <v>90.646849249249101</v>
      </c>
      <c r="E350">
        <f t="shared" si="5"/>
        <v>1604.2365997337977</v>
      </c>
    </row>
    <row r="351" spans="1:5" x14ac:dyDescent="0.2">
      <c r="A351" t="s">
        <v>1010</v>
      </c>
      <c r="B351" t="s">
        <v>1014</v>
      </c>
      <c r="C351">
        <v>25.303763888888799</v>
      </c>
      <c r="D351">
        <v>91.759225198412693</v>
      </c>
      <c r="E351">
        <f t="shared" si="5"/>
        <v>1718.8300891598808</v>
      </c>
    </row>
    <row r="352" spans="1:5" x14ac:dyDescent="0.2">
      <c r="A352" t="s">
        <v>1010</v>
      </c>
      <c r="B352" t="s">
        <v>1017</v>
      </c>
      <c r="C352">
        <v>25.3395955706984</v>
      </c>
      <c r="D352">
        <v>92.376081601362898</v>
      </c>
      <c r="E352">
        <f t="shared" si="5"/>
        <v>1780.3687608251839</v>
      </c>
    </row>
    <row r="353" spans="1:5" x14ac:dyDescent="0.2">
      <c r="A353" t="s">
        <v>1010</v>
      </c>
      <c r="B353" t="s">
        <v>1020</v>
      </c>
      <c r="C353">
        <v>25.897066004414899</v>
      </c>
      <c r="D353">
        <v>91.845161589403901</v>
      </c>
      <c r="E353">
        <f t="shared" si="5"/>
        <v>1723.7822925266739</v>
      </c>
    </row>
    <row r="354" spans="1:5" x14ac:dyDescent="0.2">
      <c r="A354" t="s">
        <v>1010</v>
      </c>
      <c r="B354" t="s">
        <v>1022</v>
      </c>
      <c r="C354">
        <v>25.240568578553599</v>
      </c>
      <c r="D354">
        <v>90.6456034912717</v>
      </c>
      <c r="E354">
        <f t="shared" si="5"/>
        <v>1607.6812945539591</v>
      </c>
    </row>
    <row r="355" spans="1:5" x14ac:dyDescent="0.2">
      <c r="A355" t="s">
        <v>1010</v>
      </c>
      <c r="B355" t="s">
        <v>1025</v>
      </c>
      <c r="C355">
        <v>25.4952851851851</v>
      </c>
      <c r="D355">
        <v>90.037099470899406</v>
      </c>
      <c r="E355">
        <f t="shared" si="5"/>
        <v>1544.8366749092972</v>
      </c>
    </row>
    <row r="356" spans="1:5" x14ac:dyDescent="0.2">
      <c r="A356" t="s">
        <v>1010</v>
      </c>
      <c r="B356" t="s">
        <v>1028</v>
      </c>
      <c r="C356">
        <v>25.500889926739902</v>
      </c>
      <c r="D356">
        <v>91.253645421245295</v>
      </c>
      <c r="E356">
        <f t="shared" si="5"/>
        <v>1666.6994753014906</v>
      </c>
    </row>
    <row r="357" spans="1:5" x14ac:dyDescent="0.2">
      <c r="A357" t="s">
        <v>1031</v>
      </c>
      <c r="B357" t="s">
        <v>1032</v>
      </c>
      <c r="C357">
        <v>23.907813354531001</v>
      </c>
      <c r="D357">
        <v>92.853594594594696</v>
      </c>
      <c r="E357">
        <f t="shared" si="5"/>
        <v>1846.8578852723003</v>
      </c>
    </row>
    <row r="358" spans="1:5" x14ac:dyDescent="0.2">
      <c r="A358" t="s">
        <v>1031</v>
      </c>
      <c r="B358" t="s">
        <v>1035</v>
      </c>
      <c r="C358">
        <v>23.541665809768599</v>
      </c>
      <c r="D358">
        <v>93.242217994858606</v>
      </c>
      <c r="E358">
        <f t="shared" si="5"/>
        <v>1892.7083282019394</v>
      </c>
    </row>
    <row r="359" spans="1:5" x14ac:dyDescent="0.2">
      <c r="A359" t="s">
        <v>1031</v>
      </c>
      <c r="B359" t="s">
        <v>1038</v>
      </c>
      <c r="C359">
        <v>24.202000434782502</v>
      </c>
      <c r="D359">
        <v>92.734703913043404</v>
      </c>
      <c r="E359">
        <f t="shared" si="5"/>
        <v>1830.015801697409</v>
      </c>
    </row>
    <row r="360" spans="1:5" x14ac:dyDescent="0.2">
      <c r="A360" t="s">
        <v>1031</v>
      </c>
      <c r="B360" t="s">
        <v>1041</v>
      </c>
      <c r="C360">
        <v>22.3610284313725</v>
      </c>
      <c r="D360">
        <v>92.669641568627497</v>
      </c>
      <c r="E360">
        <f t="shared" si="5"/>
        <v>1863.2191433954745</v>
      </c>
    </row>
    <row r="361" spans="1:5" x14ac:dyDescent="0.2">
      <c r="A361" t="s">
        <v>1031</v>
      </c>
      <c r="B361" t="s">
        <v>1044</v>
      </c>
      <c r="C361">
        <v>23.0077170361726</v>
      </c>
      <c r="D361">
        <v>92.635125554258906</v>
      </c>
      <c r="E361">
        <f t="shared" si="5"/>
        <v>1843.3902622405499</v>
      </c>
    </row>
    <row r="362" spans="1:5" x14ac:dyDescent="0.2">
      <c r="A362" t="s">
        <v>1031</v>
      </c>
      <c r="B362" t="s">
        <v>1047</v>
      </c>
      <c r="C362">
        <v>23.738529425028101</v>
      </c>
      <c r="D362">
        <v>92.433080383314703</v>
      </c>
      <c r="E362">
        <f t="shared" si="5"/>
        <v>1807.73833930412</v>
      </c>
    </row>
    <row r="363" spans="1:5" x14ac:dyDescent="0.2">
      <c r="A363" t="s">
        <v>1031</v>
      </c>
      <c r="B363" t="s">
        <v>1049</v>
      </c>
      <c r="C363">
        <v>22.35744801061</v>
      </c>
      <c r="D363">
        <v>93.0282793103448</v>
      </c>
      <c r="E363">
        <f t="shared" si="5"/>
        <v>1899.0778093193824</v>
      </c>
    </row>
    <row r="364" spans="1:5" x14ac:dyDescent="0.2">
      <c r="A364" t="s">
        <v>1031</v>
      </c>
      <c r="B364" t="s">
        <v>1052</v>
      </c>
      <c r="C364">
        <v>23.263864705882298</v>
      </c>
      <c r="D364">
        <v>92.914158496732</v>
      </c>
      <c r="E364">
        <f t="shared" si="5"/>
        <v>1865.5730228020943</v>
      </c>
    </row>
    <row r="365" spans="1:5" x14ac:dyDescent="0.2">
      <c r="A365" t="s">
        <v>1055</v>
      </c>
      <c r="B365" t="s">
        <v>1056</v>
      </c>
      <c r="C365">
        <v>25.814176811594201</v>
      </c>
      <c r="D365">
        <v>93.750740579710097</v>
      </c>
      <c r="E365">
        <f t="shared" si="5"/>
        <v>1914.6813329976119</v>
      </c>
    </row>
    <row r="366" spans="1:5" x14ac:dyDescent="0.2">
      <c r="A366" t="s">
        <v>1055</v>
      </c>
      <c r="B366" t="s">
        <v>1059</v>
      </c>
      <c r="C366">
        <v>25.603114285714199</v>
      </c>
      <c r="D366">
        <v>93.786006575963697</v>
      </c>
      <c r="E366">
        <f t="shared" si="5"/>
        <v>1919.5653437009883</v>
      </c>
    </row>
    <row r="367" spans="1:5" x14ac:dyDescent="0.2">
      <c r="A367" t="s">
        <v>1055</v>
      </c>
      <c r="B367" t="s">
        <v>1062</v>
      </c>
      <c r="C367">
        <v>26.478911764705799</v>
      </c>
      <c r="D367">
        <v>94.522426006192006</v>
      </c>
      <c r="E367">
        <f t="shared" si="5"/>
        <v>1989.0290472995805</v>
      </c>
    </row>
    <row r="368" spans="1:5" x14ac:dyDescent="0.2">
      <c r="A368" t="s">
        <v>1055</v>
      </c>
      <c r="B368" t="s">
        <v>1064</v>
      </c>
      <c r="C368">
        <v>26.692073743016699</v>
      </c>
      <c r="D368">
        <v>95.030729888268198</v>
      </c>
      <c r="E368">
        <f t="shared" si="5"/>
        <v>2039.1927428441197</v>
      </c>
    </row>
    <row r="369" spans="1:5" x14ac:dyDescent="0.2">
      <c r="A369" t="s">
        <v>1055</v>
      </c>
      <c r="B369" t="s">
        <v>1067</v>
      </c>
      <c r="C369">
        <v>25.6327298657718</v>
      </c>
      <c r="D369">
        <v>94.568145637583896</v>
      </c>
      <c r="E369">
        <f t="shared" si="5"/>
        <v>1997.608706044475</v>
      </c>
    </row>
    <row r="370" spans="1:5" x14ac:dyDescent="0.2">
      <c r="A370" t="s">
        <v>1055</v>
      </c>
      <c r="B370" t="s">
        <v>1070</v>
      </c>
      <c r="C370">
        <v>26.211044532803101</v>
      </c>
      <c r="D370">
        <v>94.858098807157006</v>
      </c>
      <c r="E370">
        <f t="shared" si="5"/>
        <v>2023.2988708992361</v>
      </c>
    </row>
    <row r="371" spans="1:5" x14ac:dyDescent="0.2">
      <c r="A371" t="s">
        <v>1055</v>
      </c>
      <c r="B371" t="s">
        <v>1073</v>
      </c>
      <c r="C371">
        <v>26.202611551155101</v>
      </c>
      <c r="D371">
        <v>94.199081518151701</v>
      </c>
      <c r="E371">
        <f t="shared" si="5"/>
        <v>1957.6236298475935</v>
      </c>
    </row>
    <row r="372" spans="1:5" x14ac:dyDescent="0.2">
      <c r="A372" t="s">
        <v>1055</v>
      </c>
      <c r="B372" t="s">
        <v>1076</v>
      </c>
      <c r="C372">
        <v>26.028178205128199</v>
      </c>
      <c r="D372">
        <v>94.500266666666604</v>
      </c>
      <c r="E372">
        <f t="shared" si="5"/>
        <v>1988.4165852585388</v>
      </c>
    </row>
    <row r="373" spans="1:5" x14ac:dyDescent="0.2">
      <c r="A373" t="s">
        <v>1079</v>
      </c>
      <c r="B373" t="s">
        <v>1080</v>
      </c>
      <c r="C373">
        <v>21.120706197654901</v>
      </c>
      <c r="D373">
        <v>84.998392127303205</v>
      </c>
      <c r="E373">
        <f t="shared" si="5"/>
        <v>1161.8927410880599</v>
      </c>
    </row>
    <row r="374" spans="1:5" x14ac:dyDescent="0.2">
      <c r="A374" t="s">
        <v>1079</v>
      </c>
      <c r="B374" t="s">
        <v>1083</v>
      </c>
      <c r="C374">
        <v>21.4857093231162</v>
      </c>
      <c r="D374">
        <v>87.080858280119301</v>
      </c>
      <c r="E374">
        <f t="shared" si="5"/>
        <v>1342.6575518270317</v>
      </c>
    </row>
    <row r="375" spans="1:5" x14ac:dyDescent="0.2">
      <c r="A375" t="s">
        <v>1079</v>
      </c>
      <c r="B375" t="s">
        <v>1086</v>
      </c>
      <c r="C375">
        <v>21.1324063793103</v>
      </c>
      <c r="D375">
        <v>83.264444999999895</v>
      </c>
      <c r="E375">
        <f t="shared" si="5"/>
        <v>1002.8904357400268</v>
      </c>
    </row>
    <row r="376" spans="1:5" x14ac:dyDescent="0.2">
      <c r="A376" t="s">
        <v>1079</v>
      </c>
      <c r="B376" t="s">
        <v>1089</v>
      </c>
      <c r="C376">
        <v>20.952627352572101</v>
      </c>
      <c r="D376">
        <v>86.814962045169295</v>
      </c>
      <c r="E376">
        <f t="shared" si="5"/>
        <v>1340.3343766881089</v>
      </c>
    </row>
    <row r="377" spans="1:5" x14ac:dyDescent="0.2">
      <c r="A377" t="s">
        <v>1079</v>
      </c>
      <c r="B377" t="s">
        <v>1092</v>
      </c>
      <c r="C377">
        <v>20.616300298507401</v>
      </c>
      <c r="D377">
        <v>83.215200597014899</v>
      </c>
      <c r="E377">
        <f t="shared" si="5"/>
        <v>1028.6904018921746</v>
      </c>
    </row>
    <row r="378" spans="1:5" x14ac:dyDescent="0.2">
      <c r="A378" t="s">
        <v>1079</v>
      </c>
      <c r="B378" t="s">
        <v>1095</v>
      </c>
      <c r="C378">
        <v>20.583190740740701</v>
      </c>
      <c r="D378">
        <v>84.123633068782993</v>
      </c>
      <c r="E378">
        <f t="shared" si="5"/>
        <v>1110.8217741869887</v>
      </c>
    </row>
    <row r="379" spans="1:5" x14ac:dyDescent="0.2">
      <c r="A379" t="s">
        <v>1079</v>
      </c>
      <c r="B379" t="s">
        <v>1098</v>
      </c>
      <c r="C379">
        <v>20.407640646029598</v>
      </c>
      <c r="D379">
        <v>85.777681022880202</v>
      </c>
      <c r="E379">
        <f t="shared" si="5"/>
        <v>1270.3094731077406</v>
      </c>
    </row>
    <row r="380" spans="1:5" x14ac:dyDescent="0.2">
      <c r="A380" t="s">
        <v>1079</v>
      </c>
      <c r="B380" t="s">
        <v>1100</v>
      </c>
      <c r="C380">
        <v>21.431462015503801</v>
      </c>
      <c r="D380">
        <v>84.814524806201604</v>
      </c>
      <c r="E380">
        <f t="shared" si="5"/>
        <v>1129.6739718133397</v>
      </c>
    </row>
    <row r="381" spans="1:5" x14ac:dyDescent="0.2">
      <c r="A381" t="s">
        <v>1079</v>
      </c>
      <c r="B381" t="s">
        <v>1103</v>
      </c>
      <c r="C381">
        <v>20.798871593533399</v>
      </c>
      <c r="D381">
        <v>85.532268360277101</v>
      </c>
      <c r="E381">
        <f t="shared" si="5"/>
        <v>1227.5004688332504</v>
      </c>
    </row>
    <row r="382" spans="1:5" x14ac:dyDescent="0.2">
      <c r="A382" t="s">
        <v>1079</v>
      </c>
      <c r="B382" t="s">
        <v>1106</v>
      </c>
      <c r="C382">
        <v>19.121080882352899</v>
      </c>
      <c r="D382">
        <v>84.140150919117502</v>
      </c>
      <c r="E382">
        <f t="shared" si="5"/>
        <v>1203.8256168973714</v>
      </c>
    </row>
    <row r="383" spans="1:5" x14ac:dyDescent="0.2">
      <c r="A383" t="s">
        <v>1079</v>
      </c>
      <c r="B383" t="s">
        <v>1109</v>
      </c>
      <c r="C383">
        <v>19.2632617564533</v>
      </c>
      <c r="D383">
        <v>84.802977104377007</v>
      </c>
      <c r="E383">
        <f t="shared" si="5"/>
        <v>1250.5261876574398</v>
      </c>
    </row>
    <row r="384" spans="1:5" x14ac:dyDescent="0.2">
      <c r="A384" t="s">
        <v>1079</v>
      </c>
      <c r="B384" t="s">
        <v>1112</v>
      </c>
      <c r="C384">
        <v>20.114443183609101</v>
      </c>
      <c r="D384">
        <v>86.432652587339106</v>
      </c>
      <c r="E384">
        <f t="shared" si="5"/>
        <v>1345.9217523373557</v>
      </c>
    </row>
    <row r="385" spans="1:5" x14ac:dyDescent="0.2">
      <c r="A385" t="s">
        <v>1079</v>
      </c>
      <c r="B385" t="s">
        <v>1115</v>
      </c>
      <c r="C385">
        <v>20.853249094202901</v>
      </c>
      <c r="D385">
        <v>86.152773007246296</v>
      </c>
      <c r="E385">
        <f t="shared" si="5"/>
        <v>1282.6227950664722</v>
      </c>
    </row>
    <row r="386" spans="1:5" x14ac:dyDescent="0.2">
      <c r="A386" t="s">
        <v>1079</v>
      </c>
      <c r="B386" t="s">
        <v>1118</v>
      </c>
      <c r="C386">
        <v>21.827058566978099</v>
      </c>
      <c r="D386">
        <v>83.9358168224298</v>
      </c>
      <c r="E386">
        <f t="shared" si="5"/>
        <v>1028.7640814662473</v>
      </c>
    </row>
    <row r="387" spans="1:5" x14ac:dyDescent="0.2">
      <c r="A387" t="s">
        <v>1079</v>
      </c>
      <c r="B387" t="s">
        <v>1121</v>
      </c>
      <c r="C387">
        <v>19.784253092783501</v>
      </c>
      <c r="D387">
        <v>83.112404381443298</v>
      </c>
      <c r="E387">
        <f t="shared" ref="E387:E450" si="6">2*6371*ASIN(SQRT(
    SIN(RADIANS(C387-$L$4)/2)^2 +
    COS(RADIANS($L$4)) * COS(RADIANS(C387)) *
    SIN(RADIANS(D387-$L$5)/2)^2
))</f>
        <v>1073.444995366385</v>
      </c>
    </row>
    <row r="388" spans="1:5" x14ac:dyDescent="0.2">
      <c r="A388" t="s">
        <v>1079</v>
      </c>
      <c r="B388" t="s">
        <v>1123</v>
      </c>
      <c r="C388">
        <v>20.0928786248131</v>
      </c>
      <c r="D388">
        <v>84.022163527653206</v>
      </c>
      <c r="E388">
        <f t="shared" si="6"/>
        <v>1130.9593815848639</v>
      </c>
    </row>
    <row r="389" spans="1:5" x14ac:dyDescent="0.2">
      <c r="A389" t="s">
        <v>1079</v>
      </c>
      <c r="B389" t="s">
        <v>1126</v>
      </c>
      <c r="C389">
        <v>20.6063198159822</v>
      </c>
      <c r="D389">
        <v>86.83763247572</v>
      </c>
      <c r="E389">
        <f t="shared" si="6"/>
        <v>1358.7110406944664</v>
      </c>
    </row>
    <row r="390" spans="1:5" x14ac:dyDescent="0.2">
      <c r="A390" t="s">
        <v>1079</v>
      </c>
      <c r="B390" t="s">
        <v>1129</v>
      </c>
      <c r="C390">
        <v>21.4922574025973</v>
      </c>
      <c r="D390">
        <v>85.762769870129901</v>
      </c>
      <c r="E390">
        <f t="shared" si="6"/>
        <v>1216.3310760815655</v>
      </c>
    </row>
    <row r="391" spans="1:5" x14ac:dyDescent="0.2">
      <c r="A391" t="s">
        <v>1079</v>
      </c>
      <c r="B391" t="s">
        <v>1132</v>
      </c>
      <c r="C391">
        <v>20.054162322274799</v>
      </c>
      <c r="D391">
        <v>85.522348341232203</v>
      </c>
      <c r="E391">
        <f t="shared" si="6"/>
        <v>1266.3043740018124</v>
      </c>
    </row>
    <row r="392" spans="1:5" x14ac:dyDescent="0.2">
      <c r="A392" t="s">
        <v>1079</v>
      </c>
      <c r="B392" t="s">
        <v>1135</v>
      </c>
      <c r="C392">
        <v>18.826277947794701</v>
      </c>
      <c r="D392">
        <v>82.812784698469599</v>
      </c>
      <c r="E392">
        <f t="shared" si="6"/>
        <v>1118.0257914476413</v>
      </c>
    </row>
    <row r="393" spans="1:5" x14ac:dyDescent="0.2">
      <c r="A393" t="s">
        <v>1079</v>
      </c>
      <c r="B393" t="s">
        <v>1138</v>
      </c>
      <c r="C393">
        <v>18.252279303675</v>
      </c>
      <c r="D393">
        <v>81.982936363636199</v>
      </c>
      <c r="E393">
        <f t="shared" si="6"/>
        <v>1101.7868916573038</v>
      </c>
    </row>
    <row r="394" spans="1:5" x14ac:dyDescent="0.2">
      <c r="A394" t="s">
        <v>1079</v>
      </c>
      <c r="B394" t="s">
        <v>1141</v>
      </c>
      <c r="C394">
        <v>21.897621545157701</v>
      </c>
      <c r="D394">
        <v>86.4030408052231</v>
      </c>
      <c r="E394">
        <f t="shared" si="6"/>
        <v>1260.8395064673043</v>
      </c>
    </row>
    <row r="395" spans="1:5" x14ac:dyDescent="0.2">
      <c r="A395" t="s">
        <v>1079</v>
      </c>
      <c r="B395" t="s">
        <v>1143</v>
      </c>
      <c r="C395">
        <v>19.513047166921901</v>
      </c>
      <c r="D395">
        <v>82.420419601837594</v>
      </c>
      <c r="E395">
        <f t="shared" si="6"/>
        <v>1036.3820973509628</v>
      </c>
    </row>
    <row r="396" spans="1:5" x14ac:dyDescent="0.2">
      <c r="A396" t="s">
        <v>1079</v>
      </c>
      <c r="B396" t="s">
        <v>1146</v>
      </c>
      <c r="C396">
        <v>20.192895622119799</v>
      </c>
      <c r="D396">
        <v>85.056147004608206</v>
      </c>
      <c r="E396">
        <f t="shared" si="6"/>
        <v>1216.531123131218</v>
      </c>
    </row>
    <row r="397" spans="1:5" x14ac:dyDescent="0.2">
      <c r="A397" t="s">
        <v>1079</v>
      </c>
      <c r="B397" t="s">
        <v>1149</v>
      </c>
      <c r="C397">
        <v>20.471309512195099</v>
      </c>
      <c r="D397">
        <v>82.591525365853599</v>
      </c>
      <c r="E397">
        <f t="shared" si="6"/>
        <v>984.22200562895625</v>
      </c>
    </row>
    <row r="398" spans="1:5" x14ac:dyDescent="0.2">
      <c r="A398" t="s">
        <v>1079</v>
      </c>
      <c r="B398" t="s">
        <v>1152</v>
      </c>
      <c r="C398">
        <v>19.835091746031701</v>
      </c>
      <c r="D398">
        <v>85.8669898989898</v>
      </c>
      <c r="E398">
        <f t="shared" si="6"/>
        <v>1309.7032531546372</v>
      </c>
    </row>
    <row r="399" spans="1:5" x14ac:dyDescent="0.2">
      <c r="A399" t="s">
        <v>1079</v>
      </c>
      <c r="B399" t="s">
        <v>1155</v>
      </c>
      <c r="C399">
        <v>19.292840020060201</v>
      </c>
      <c r="D399">
        <v>83.458601203610897</v>
      </c>
      <c r="E399">
        <f t="shared" si="6"/>
        <v>1135.7080454500842</v>
      </c>
    </row>
    <row r="400" spans="1:5" x14ac:dyDescent="0.2">
      <c r="A400" t="s">
        <v>1079</v>
      </c>
      <c r="B400" t="s">
        <v>1158</v>
      </c>
      <c r="C400">
        <v>21.5157523809523</v>
      </c>
      <c r="D400">
        <v>84.349584832451498</v>
      </c>
      <c r="E400">
        <f t="shared" si="6"/>
        <v>1082.2137229703276</v>
      </c>
    </row>
    <row r="401" spans="1:5" x14ac:dyDescent="0.2">
      <c r="A401" t="s">
        <v>1079</v>
      </c>
      <c r="B401" t="s">
        <v>1161</v>
      </c>
      <c r="C401">
        <v>20.8908032934131</v>
      </c>
      <c r="D401">
        <v>83.768526347305297</v>
      </c>
      <c r="E401">
        <f t="shared" si="6"/>
        <v>1061.6234504687513</v>
      </c>
    </row>
    <row r="402" spans="1:5" x14ac:dyDescent="0.2">
      <c r="A402" t="s">
        <v>1079</v>
      </c>
      <c r="B402" t="s">
        <v>1164</v>
      </c>
      <c r="C402">
        <v>22.063548192771002</v>
      </c>
      <c r="D402">
        <v>84.505248192770907</v>
      </c>
      <c r="E402">
        <f t="shared" si="6"/>
        <v>1071.9910115739381</v>
      </c>
    </row>
    <row r="403" spans="1:5" x14ac:dyDescent="0.2">
      <c r="A403" t="s">
        <v>1167</v>
      </c>
      <c r="B403" t="s">
        <v>1168</v>
      </c>
      <c r="C403">
        <v>10.8761617260788</v>
      </c>
      <c r="D403">
        <v>79.823697936209996</v>
      </c>
      <c r="E403">
        <f t="shared" si="6"/>
        <v>1710.0932714122821</v>
      </c>
    </row>
    <row r="404" spans="1:5" x14ac:dyDescent="0.2">
      <c r="A404" t="s">
        <v>1167</v>
      </c>
      <c r="B404" t="s">
        <v>1171</v>
      </c>
      <c r="C404">
        <v>12.006420793787701</v>
      </c>
      <c r="D404">
        <v>75.282750215703203</v>
      </c>
      <c r="E404">
        <f t="shared" si="6"/>
        <v>1496.5154650784214</v>
      </c>
    </row>
    <row r="405" spans="1:5" x14ac:dyDescent="0.2">
      <c r="A405" t="s">
        <v>1167</v>
      </c>
      <c r="B405" t="s">
        <v>1167</v>
      </c>
      <c r="C405">
        <v>11.887806269592399</v>
      </c>
      <c r="D405">
        <v>79.797109613375198</v>
      </c>
      <c r="E405">
        <f t="shared" si="6"/>
        <v>1602.4778872282604</v>
      </c>
    </row>
    <row r="406" spans="1:5" x14ac:dyDescent="0.2">
      <c r="A406" t="s">
        <v>1167</v>
      </c>
      <c r="B406" t="s">
        <v>1175</v>
      </c>
      <c r="C406">
        <v>16.7076956521739</v>
      </c>
      <c r="D406">
        <v>82.261873043478303</v>
      </c>
      <c r="E406">
        <f t="shared" si="6"/>
        <v>1252.5221090517284</v>
      </c>
    </row>
    <row r="407" spans="1:5" x14ac:dyDescent="0.2">
      <c r="A407" t="s">
        <v>1178</v>
      </c>
      <c r="B407" t="s">
        <v>1179</v>
      </c>
      <c r="C407">
        <v>31.548679820627701</v>
      </c>
      <c r="D407">
        <v>74.798838565022294</v>
      </c>
      <c r="E407">
        <f t="shared" si="6"/>
        <v>678.18758202605648</v>
      </c>
    </row>
    <row r="408" spans="1:5" x14ac:dyDescent="0.2">
      <c r="A408" t="s">
        <v>1178</v>
      </c>
      <c r="B408" t="s">
        <v>1182</v>
      </c>
      <c r="C408">
        <v>30.190524611973299</v>
      </c>
      <c r="D408">
        <v>75.056858980044296</v>
      </c>
      <c r="E408">
        <f t="shared" si="6"/>
        <v>528.58353715022508</v>
      </c>
    </row>
    <row r="409" spans="1:5" x14ac:dyDescent="0.2">
      <c r="A409" t="s">
        <v>1178</v>
      </c>
      <c r="B409" t="s">
        <v>1185</v>
      </c>
      <c r="C409">
        <v>30.591187250996001</v>
      </c>
      <c r="D409">
        <v>74.797515537848597</v>
      </c>
      <c r="E409">
        <f t="shared" si="6"/>
        <v>571.75099818761794</v>
      </c>
    </row>
    <row r="410" spans="1:5" x14ac:dyDescent="0.2">
      <c r="A410" t="s">
        <v>1178</v>
      </c>
      <c r="B410" t="s">
        <v>1188</v>
      </c>
      <c r="C410">
        <v>30.642909473684199</v>
      </c>
      <c r="D410">
        <v>76.362083947368404</v>
      </c>
      <c r="E410">
        <f t="shared" si="6"/>
        <v>601.50432572896614</v>
      </c>
    </row>
    <row r="411" spans="1:5" x14ac:dyDescent="0.2">
      <c r="A411" t="s">
        <v>1178</v>
      </c>
      <c r="B411" t="s">
        <v>1191</v>
      </c>
      <c r="C411">
        <v>30.6340753521126</v>
      </c>
      <c r="D411">
        <v>74.402457323943594</v>
      </c>
      <c r="E411">
        <f t="shared" si="6"/>
        <v>576.77835367171008</v>
      </c>
    </row>
    <row r="412" spans="1:5" x14ac:dyDescent="0.2">
      <c r="A412" t="s">
        <v>1178</v>
      </c>
      <c r="B412" t="s">
        <v>1194</v>
      </c>
      <c r="C412">
        <v>32.042833712121201</v>
      </c>
      <c r="D412">
        <v>75.320406439393906</v>
      </c>
      <c r="E412">
        <f t="shared" si="6"/>
        <v>735.95026928819789</v>
      </c>
    </row>
    <row r="413" spans="1:5" x14ac:dyDescent="0.2">
      <c r="A413" t="s">
        <v>1178</v>
      </c>
      <c r="B413" t="s">
        <v>1196</v>
      </c>
      <c r="C413">
        <v>31.551571698113101</v>
      </c>
      <c r="D413">
        <v>75.8469857442349</v>
      </c>
      <c r="E413">
        <f t="shared" si="6"/>
        <v>688.49885375876886</v>
      </c>
    </row>
    <row r="414" spans="1:5" x14ac:dyDescent="0.2">
      <c r="A414" t="s">
        <v>1178</v>
      </c>
      <c r="B414" t="s">
        <v>1198</v>
      </c>
      <c r="C414">
        <v>31.2503369072165</v>
      </c>
      <c r="D414">
        <v>75.544003505154606</v>
      </c>
      <c r="E414">
        <f t="shared" si="6"/>
        <v>650.87199500048621</v>
      </c>
    </row>
    <row r="415" spans="1:5" x14ac:dyDescent="0.2">
      <c r="A415" t="s">
        <v>1178</v>
      </c>
      <c r="B415" t="s">
        <v>1201</v>
      </c>
      <c r="C415">
        <v>31.336592638036802</v>
      </c>
      <c r="D415">
        <v>75.476411656441698</v>
      </c>
      <c r="E415">
        <f t="shared" si="6"/>
        <v>659.51850428383591</v>
      </c>
    </row>
    <row r="416" spans="1:5" x14ac:dyDescent="0.2">
      <c r="A416" t="s">
        <v>1178</v>
      </c>
      <c r="B416" t="s">
        <v>1204</v>
      </c>
      <c r="C416">
        <v>30.765963973799099</v>
      </c>
      <c r="D416">
        <v>75.831108515283802</v>
      </c>
      <c r="E416">
        <f t="shared" si="6"/>
        <v>602.40609707001045</v>
      </c>
    </row>
    <row r="417" spans="1:5" x14ac:dyDescent="0.2">
      <c r="A417" t="s">
        <v>1178</v>
      </c>
      <c r="B417" t="s">
        <v>1207</v>
      </c>
      <c r="C417">
        <v>29.919547714285699</v>
      </c>
      <c r="D417">
        <v>75.430492285714294</v>
      </c>
      <c r="E417">
        <f t="shared" si="6"/>
        <v>502.91995065898345</v>
      </c>
    </row>
    <row r="418" spans="1:5" x14ac:dyDescent="0.2">
      <c r="A418" t="s">
        <v>1178</v>
      </c>
      <c r="B418" t="s">
        <v>1209</v>
      </c>
      <c r="C418">
        <v>30.756540067340001</v>
      </c>
      <c r="D418">
        <v>75.160084511784504</v>
      </c>
      <c r="E418">
        <f t="shared" si="6"/>
        <v>592.1301235240287</v>
      </c>
    </row>
    <row r="419" spans="1:5" x14ac:dyDescent="0.2">
      <c r="A419" t="s">
        <v>1178</v>
      </c>
      <c r="B419" t="s">
        <v>1211</v>
      </c>
      <c r="C419">
        <v>30.312433033032999</v>
      </c>
      <c r="D419">
        <v>74.551874774774802</v>
      </c>
      <c r="E419">
        <f t="shared" si="6"/>
        <v>540.61320095036467</v>
      </c>
    </row>
    <row r="420" spans="1:5" x14ac:dyDescent="0.2">
      <c r="A420" t="s">
        <v>1178</v>
      </c>
      <c r="B420" t="s">
        <v>1213</v>
      </c>
      <c r="C420">
        <v>31.133445454545399</v>
      </c>
      <c r="D420">
        <v>76.1019243636364</v>
      </c>
      <c r="E420">
        <f t="shared" si="6"/>
        <v>647.83491227026286</v>
      </c>
    </row>
    <row r="421" spans="1:5" x14ac:dyDescent="0.2">
      <c r="A421" t="s">
        <v>1178</v>
      </c>
      <c r="B421" t="s">
        <v>1215</v>
      </c>
      <c r="C421">
        <v>30.2145403806933</v>
      </c>
      <c r="D421">
        <v>76.275058939496901</v>
      </c>
      <c r="E421">
        <f t="shared" si="6"/>
        <v>553.51365905829607</v>
      </c>
    </row>
    <row r="422" spans="1:5" x14ac:dyDescent="0.2">
      <c r="A422" t="s">
        <v>1178</v>
      </c>
      <c r="B422" t="s">
        <v>1218</v>
      </c>
      <c r="C422">
        <v>30.910937330754301</v>
      </c>
      <c r="D422">
        <v>76.537435009671199</v>
      </c>
      <c r="E422">
        <f t="shared" si="6"/>
        <v>634.91815326905248</v>
      </c>
    </row>
    <row r="423" spans="1:5" x14ac:dyDescent="0.2">
      <c r="A423" t="s">
        <v>1178</v>
      </c>
      <c r="B423" t="s">
        <v>1221</v>
      </c>
      <c r="C423">
        <v>30.185045204336799</v>
      </c>
      <c r="D423">
        <v>75.894370141784904</v>
      </c>
      <c r="E423">
        <f t="shared" si="6"/>
        <v>540.63869253365203</v>
      </c>
    </row>
    <row r="424" spans="1:5" x14ac:dyDescent="0.2">
      <c r="A424" t="s">
        <v>1224</v>
      </c>
      <c r="B424" t="s">
        <v>1225</v>
      </c>
      <c r="C424">
        <v>26.1993003787879</v>
      </c>
      <c r="D424">
        <v>74.699041919191899</v>
      </c>
      <c r="E424">
        <f t="shared" si="6"/>
        <v>83.398593539380784</v>
      </c>
    </row>
    <row r="425" spans="1:5" x14ac:dyDescent="0.2">
      <c r="A425" t="s">
        <v>1224</v>
      </c>
      <c r="B425" t="s">
        <v>1227</v>
      </c>
      <c r="C425">
        <v>27.5527173803526</v>
      </c>
      <c r="D425">
        <v>76.653596305625598</v>
      </c>
      <c r="E425">
        <f t="shared" si="6"/>
        <v>307.84326776693666</v>
      </c>
    </row>
    <row r="426" spans="1:5" x14ac:dyDescent="0.2">
      <c r="A426" t="s">
        <v>1224</v>
      </c>
      <c r="B426" t="s">
        <v>1230</v>
      </c>
      <c r="C426">
        <v>23.453642032967</v>
      </c>
      <c r="D426">
        <v>74.442468681318601</v>
      </c>
      <c r="E426">
        <f t="shared" si="6"/>
        <v>223.0112582599902</v>
      </c>
    </row>
    <row r="427" spans="1:5" x14ac:dyDescent="0.2">
      <c r="A427" t="s">
        <v>1224</v>
      </c>
      <c r="B427" t="s">
        <v>1233</v>
      </c>
      <c r="C427">
        <v>24.980232432432398</v>
      </c>
      <c r="D427">
        <v>76.8621065182829</v>
      </c>
      <c r="E427">
        <f t="shared" si="6"/>
        <v>229.64221713827612</v>
      </c>
    </row>
    <row r="428" spans="1:5" x14ac:dyDescent="0.2">
      <c r="A428" t="s">
        <v>1224</v>
      </c>
      <c r="B428" t="s">
        <v>1236</v>
      </c>
      <c r="C428">
        <v>25.770709080459699</v>
      </c>
      <c r="D428">
        <v>71.502971264367801</v>
      </c>
      <c r="E428">
        <f t="shared" si="6"/>
        <v>316.48979405316265</v>
      </c>
    </row>
    <row r="429" spans="1:5" x14ac:dyDescent="0.2">
      <c r="A429" t="s">
        <v>1224</v>
      </c>
      <c r="B429" t="s">
        <v>1239</v>
      </c>
      <c r="C429">
        <v>27.3241185803757</v>
      </c>
      <c r="D429">
        <v>77.217520772442498</v>
      </c>
      <c r="E429">
        <f t="shared" si="6"/>
        <v>330.61198897568846</v>
      </c>
    </row>
    <row r="430" spans="1:5" x14ac:dyDescent="0.2">
      <c r="A430" t="s">
        <v>1224</v>
      </c>
      <c r="B430" t="s">
        <v>1242</v>
      </c>
      <c r="C430">
        <v>25.451197677595601</v>
      </c>
      <c r="D430">
        <v>74.639475956284102</v>
      </c>
      <c r="E430">
        <f t="shared" si="6"/>
        <v>0</v>
      </c>
    </row>
    <row r="431" spans="1:5" x14ac:dyDescent="0.2">
      <c r="A431" t="s">
        <v>1224</v>
      </c>
      <c r="B431" t="s">
        <v>1245</v>
      </c>
      <c r="C431">
        <v>28.1248906832298</v>
      </c>
      <c r="D431">
        <v>73.2694332298137</v>
      </c>
      <c r="E431">
        <f t="shared" si="6"/>
        <v>326.91862897401137</v>
      </c>
    </row>
    <row r="432" spans="1:5" x14ac:dyDescent="0.2">
      <c r="A432" t="s">
        <v>1224</v>
      </c>
      <c r="B432" t="s">
        <v>1248</v>
      </c>
      <c r="C432">
        <v>25.4858071604937</v>
      </c>
      <c r="D432">
        <v>75.799840740740706</v>
      </c>
      <c r="E432">
        <f t="shared" si="6"/>
        <v>116.55128011020601</v>
      </c>
    </row>
    <row r="433" spans="1:5" x14ac:dyDescent="0.2">
      <c r="A433" t="s">
        <v>1224</v>
      </c>
      <c r="B433" t="s">
        <v>1251</v>
      </c>
      <c r="C433">
        <v>24.631623761665399</v>
      </c>
      <c r="D433">
        <v>74.800109978463794</v>
      </c>
      <c r="E433">
        <f t="shared" si="6"/>
        <v>92.558083223696912</v>
      </c>
    </row>
    <row r="434" spans="1:5" x14ac:dyDescent="0.2">
      <c r="A434" t="s">
        <v>1224</v>
      </c>
      <c r="B434" t="s">
        <v>1254</v>
      </c>
      <c r="C434">
        <v>28.2933037553648</v>
      </c>
      <c r="D434">
        <v>74.658464270386204</v>
      </c>
      <c r="E434">
        <f t="shared" si="6"/>
        <v>316.03338694881506</v>
      </c>
    </row>
    <row r="435" spans="1:5" x14ac:dyDescent="0.2">
      <c r="A435" t="s">
        <v>1224</v>
      </c>
      <c r="B435" t="s">
        <v>1257</v>
      </c>
      <c r="C435">
        <v>26.9123481762918</v>
      </c>
      <c r="D435">
        <v>76.573420972644399</v>
      </c>
      <c r="E435">
        <f t="shared" si="6"/>
        <v>252.25942814729981</v>
      </c>
    </row>
    <row r="436" spans="1:5" x14ac:dyDescent="0.2">
      <c r="A436" t="s">
        <v>1224</v>
      </c>
      <c r="B436" t="s">
        <v>1260</v>
      </c>
      <c r="C436">
        <v>26.723970549450499</v>
      </c>
      <c r="D436">
        <v>77.744762197802203</v>
      </c>
      <c r="E436">
        <f t="shared" si="6"/>
        <v>340.86560563247917</v>
      </c>
    </row>
    <row r="437" spans="1:5" x14ac:dyDescent="0.2">
      <c r="A437" t="s">
        <v>1224</v>
      </c>
      <c r="B437" t="s">
        <v>1263</v>
      </c>
      <c r="C437">
        <v>23.751048076922999</v>
      </c>
      <c r="D437">
        <v>73.847656410256405</v>
      </c>
      <c r="E437">
        <f t="shared" si="6"/>
        <v>205.29743513490038</v>
      </c>
    </row>
    <row r="438" spans="1:5" x14ac:dyDescent="0.2">
      <c r="A438" t="s">
        <v>1224</v>
      </c>
      <c r="B438" t="s">
        <v>1266</v>
      </c>
      <c r="C438">
        <v>29.256785412667899</v>
      </c>
      <c r="D438">
        <v>73.561923032629394</v>
      </c>
      <c r="E438">
        <f t="shared" si="6"/>
        <v>436.33008663750513</v>
      </c>
    </row>
    <row r="439" spans="1:5" x14ac:dyDescent="0.2">
      <c r="A439" t="s">
        <v>1224</v>
      </c>
      <c r="B439" t="s">
        <v>1269</v>
      </c>
      <c r="C439">
        <v>29.181335179153098</v>
      </c>
      <c r="D439">
        <v>74.746325732898995</v>
      </c>
      <c r="E439">
        <f t="shared" si="6"/>
        <v>414.90659070855656</v>
      </c>
    </row>
    <row r="440" spans="1:5" x14ac:dyDescent="0.2">
      <c r="A440" t="s">
        <v>1224</v>
      </c>
      <c r="B440" t="s">
        <v>1271</v>
      </c>
      <c r="C440">
        <v>27.0334592901878</v>
      </c>
      <c r="D440">
        <v>75.771172860125304</v>
      </c>
      <c r="E440">
        <f t="shared" si="6"/>
        <v>209.02779827193504</v>
      </c>
    </row>
    <row r="441" spans="1:5" x14ac:dyDescent="0.2">
      <c r="A441" t="s">
        <v>1224</v>
      </c>
      <c r="B441" t="s">
        <v>1274</v>
      </c>
      <c r="C441">
        <v>26.869008385481798</v>
      </c>
      <c r="D441">
        <v>71.183718773466794</v>
      </c>
      <c r="E441">
        <f t="shared" si="6"/>
        <v>379.20148647653457</v>
      </c>
    </row>
    <row r="442" spans="1:5" x14ac:dyDescent="0.2">
      <c r="A442" t="s">
        <v>1224</v>
      </c>
      <c r="B442" t="s">
        <v>1277</v>
      </c>
      <c r="C442">
        <v>25.075780937972699</v>
      </c>
      <c r="D442">
        <v>72.186472617246594</v>
      </c>
      <c r="E442">
        <f t="shared" si="6"/>
        <v>250.17632312486853</v>
      </c>
    </row>
    <row r="443" spans="1:5" x14ac:dyDescent="0.2">
      <c r="A443" t="s">
        <v>1224</v>
      </c>
      <c r="B443" t="s">
        <v>1280</v>
      </c>
      <c r="C443">
        <v>24.247255414746501</v>
      </c>
      <c r="D443">
        <v>76.112428917050593</v>
      </c>
      <c r="E443">
        <f t="shared" si="6"/>
        <v>200.02120894341934</v>
      </c>
    </row>
    <row r="444" spans="1:5" x14ac:dyDescent="0.2">
      <c r="A444" t="s">
        <v>1224</v>
      </c>
      <c r="B444" t="s">
        <v>1283</v>
      </c>
      <c r="C444">
        <v>28.135174012474</v>
      </c>
      <c r="D444">
        <v>75.528408939708896</v>
      </c>
      <c r="E444">
        <f t="shared" si="6"/>
        <v>311.20994961624791</v>
      </c>
    </row>
    <row r="445" spans="1:5" x14ac:dyDescent="0.2">
      <c r="A445" t="s">
        <v>1224</v>
      </c>
      <c r="B445" t="s">
        <v>1286</v>
      </c>
      <c r="C445">
        <v>26.6784608385369</v>
      </c>
      <c r="D445">
        <v>73.004508474576198</v>
      </c>
      <c r="E445">
        <f t="shared" si="6"/>
        <v>212.81694711015322</v>
      </c>
    </row>
    <row r="446" spans="1:5" x14ac:dyDescent="0.2">
      <c r="A446" t="s">
        <v>1224</v>
      </c>
      <c r="B446" t="s">
        <v>1289</v>
      </c>
      <c r="C446">
        <v>26.519015555555502</v>
      </c>
      <c r="D446">
        <v>76.960818181818098</v>
      </c>
      <c r="E446">
        <f t="shared" si="6"/>
        <v>260.63552584445443</v>
      </c>
    </row>
    <row r="447" spans="1:5" x14ac:dyDescent="0.2">
      <c r="A447" t="s">
        <v>1224</v>
      </c>
      <c r="B447" t="s">
        <v>1292</v>
      </c>
      <c r="C447">
        <v>25.175718079999999</v>
      </c>
      <c r="D447">
        <v>76.186189279999994</v>
      </c>
      <c r="E447">
        <f t="shared" si="6"/>
        <v>158.46067813494233</v>
      </c>
    </row>
    <row r="448" spans="1:5" x14ac:dyDescent="0.2">
      <c r="A448" t="s">
        <v>1224</v>
      </c>
      <c r="B448" t="s">
        <v>1295</v>
      </c>
      <c r="C448">
        <v>27.0786201604814</v>
      </c>
      <c r="D448">
        <v>74.142156670010095</v>
      </c>
      <c r="E448">
        <f t="shared" si="6"/>
        <v>187.63214352868516</v>
      </c>
    </row>
    <row r="449" spans="1:5" x14ac:dyDescent="0.2">
      <c r="A449" t="s">
        <v>1224</v>
      </c>
      <c r="B449" t="s">
        <v>1298</v>
      </c>
      <c r="C449">
        <v>25.8049039354187</v>
      </c>
      <c r="D449">
        <v>73.552856407668997</v>
      </c>
      <c r="E449">
        <f t="shared" si="6"/>
        <v>115.82149438396958</v>
      </c>
    </row>
    <row r="450" spans="1:5" x14ac:dyDescent="0.2">
      <c r="A450" t="s">
        <v>1224</v>
      </c>
      <c r="B450" t="s">
        <v>1301</v>
      </c>
      <c r="C450">
        <v>25.248947674418499</v>
      </c>
      <c r="D450">
        <v>73.965702159468407</v>
      </c>
      <c r="E450">
        <f t="shared" si="6"/>
        <v>71.343229087821996</v>
      </c>
    </row>
    <row r="451" spans="1:5" x14ac:dyDescent="0.2">
      <c r="A451" t="s">
        <v>1224</v>
      </c>
      <c r="B451" t="s">
        <v>1304</v>
      </c>
      <c r="C451">
        <v>26.251081180223199</v>
      </c>
      <c r="D451">
        <v>76.4219283891548</v>
      </c>
      <c r="E451">
        <f t="shared" ref="E451:E514" si="7">2*6371*ASIN(SQRT(
    SIN(RADIANS(C451-$L$4)/2)^2 +
    COS(RADIANS($L$4)) * COS(RADIANS(C451)) *
    SIN(RADIANS(D451-$L$5)/2)^2
))</f>
        <v>199.30843154336787</v>
      </c>
    </row>
    <row r="452" spans="1:5" x14ac:dyDescent="0.2">
      <c r="A452" t="s">
        <v>1224</v>
      </c>
      <c r="B452" t="s">
        <v>1306</v>
      </c>
      <c r="C452">
        <v>27.6464405864197</v>
      </c>
      <c r="D452">
        <v>75.293174228395003</v>
      </c>
      <c r="E452">
        <f t="shared" si="7"/>
        <v>252.61009539300971</v>
      </c>
    </row>
    <row r="453" spans="1:5" x14ac:dyDescent="0.2">
      <c r="A453" t="s">
        <v>1224</v>
      </c>
      <c r="B453" t="s">
        <v>1309</v>
      </c>
      <c r="C453">
        <v>24.797690526315801</v>
      </c>
      <c r="D453">
        <v>72.753091315789405</v>
      </c>
      <c r="E453">
        <f t="shared" si="7"/>
        <v>203.33556083329222</v>
      </c>
    </row>
    <row r="454" spans="1:5" x14ac:dyDescent="0.2">
      <c r="A454" t="s">
        <v>1224</v>
      </c>
      <c r="B454" t="s">
        <v>1311</v>
      </c>
      <c r="C454">
        <v>26.153935071707899</v>
      </c>
      <c r="D454">
        <v>75.791922164276301</v>
      </c>
      <c r="E454">
        <f t="shared" si="7"/>
        <v>139.34071900256646</v>
      </c>
    </row>
    <row r="455" spans="1:5" x14ac:dyDescent="0.2">
      <c r="A455" t="s">
        <v>1224</v>
      </c>
      <c r="B455" t="s">
        <v>1314</v>
      </c>
      <c r="C455">
        <v>24.440767521367398</v>
      </c>
      <c r="D455">
        <v>73.840298397435802</v>
      </c>
      <c r="E455">
        <f t="shared" si="7"/>
        <v>138.25861810878538</v>
      </c>
    </row>
    <row r="456" spans="1:5" x14ac:dyDescent="0.2">
      <c r="A456" t="s">
        <v>1317</v>
      </c>
      <c r="B456" t="s">
        <v>1318</v>
      </c>
      <c r="C456">
        <v>27.296003529411699</v>
      </c>
      <c r="D456">
        <v>88.749083921568499</v>
      </c>
      <c r="E456">
        <f t="shared" si="7"/>
        <v>1419.7066159213259</v>
      </c>
    </row>
    <row r="457" spans="1:5" x14ac:dyDescent="0.2">
      <c r="A457" t="s">
        <v>1317</v>
      </c>
      <c r="B457" t="s">
        <v>1321</v>
      </c>
      <c r="C457">
        <v>27.8138100470957</v>
      </c>
      <c r="D457">
        <v>88.542005651491294</v>
      </c>
      <c r="E457">
        <f t="shared" si="7"/>
        <v>1405.7811443790363</v>
      </c>
    </row>
    <row r="458" spans="1:5" x14ac:dyDescent="0.2">
      <c r="A458" t="s">
        <v>1317</v>
      </c>
      <c r="B458" t="s">
        <v>1324</v>
      </c>
      <c r="C458">
        <v>27.278021621621601</v>
      </c>
      <c r="D458">
        <v>88.375385945945894</v>
      </c>
      <c r="E458">
        <f t="shared" si="7"/>
        <v>1382.7487318672179</v>
      </c>
    </row>
    <row r="459" spans="1:5" x14ac:dyDescent="0.2">
      <c r="A459" t="s">
        <v>1317</v>
      </c>
      <c r="B459" t="s">
        <v>1327</v>
      </c>
      <c r="C459">
        <v>27.3359816</v>
      </c>
      <c r="D459">
        <v>88.158011999999999</v>
      </c>
      <c r="E459">
        <f t="shared" si="7"/>
        <v>1361.997576851074</v>
      </c>
    </row>
    <row r="460" spans="1:5" x14ac:dyDescent="0.2">
      <c r="A460" t="s">
        <v>1329</v>
      </c>
      <c r="B460" t="s">
        <v>1330</v>
      </c>
      <c r="C460">
        <v>11.190514836795201</v>
      </c>
      <c r="D460">
        <v>79.222496439169106</v>
      </c>
      <c r="E460">
        <f t="shared" si="7"/>
        <v>1657.3812842744414</v>
      </c>
    </row>
    <row r="461" spans="1:5" x14ac:dyDescent="0.2">
      <c r="A461" t="s">
        <v>1329</v>
      </c>
      <c r="B461" t="s">
        <v>1333</v>
      </c>
      <c r="C461">
        <v>13.0580989056087</v>
      </c>
      <c r="D461">
        <v>80.281391518467998</v>
      </c>
      <c r="E461">
        <f t="shared" si="7"/>
        <v>1499.2965374453638</v>
      </c>
    </row>
    <row r="462" spans="1:5" x14ac:dyDescent="0.2">
      <c r="A462" t="s">
        <v>1329</v>
      </c>
      <c r="B462" t="s">
        <v>1336</v>
      </c>
      <c r="C462">
        <v>10.8713769959404</v>
      </c>
      <c r="D462">
        <v>77.076190121786198</v>
      </c>
      <c r="E462">
        <f t="shared" si="7"/>
        <v>1641.3722238810101</v>
      </c>
    </row>
    <row r="463" spans="1:5" x14ac:dyDescent="0.2">
      <c r="A463" t="s">
        <v>1329</v>
      </c>
      <c r="B463" t="s">
        <v>1339</v>
      </c>
      <c r="C463">
        <v>11.5758730061349</v>
      </c>
      <c r="D463">
        <v>79.6300236537149</v>
      </c>
      <c r="E463">
        <f t="shared" si="7"/>
        <v>1629.5695501301259</v>
      </c>
    </row>
    <row r="464" spans="1:5" x14ac:dyDescent="0.2">
      <c r="A464" t="s">
        <v>1329</v>
      </c>
      <c r="B464" t="s">
        <v>1342</v>
      </c>
      <c r="C464">
        <v>12.300141200000001</v>
      </c>
      <c r="D464">
        <v>78.115098133333305</v>
      </c>
      <c r="E464">
        <f t="shared" si="7"/>
        <v>1507.0966574317843</v>
      </c>
    </row>
    <row r="465" spans="1:5" x14ac:dyDescent="0.2">
      <c r="A465" t="s">
        <v>1329</v>
      </c>
      <c r="B465" t="s">
        <v>1345</v>
      </c>
      <c r="C465">
        <v>10.377801390820499</v>
      </c>
      <c r="D465">
        <v>77.7801127955493</v>
      </c>
      <c r="E465">
        <f t="shared" si="7"/>
        <v>1708.4607288424795</v>
      </c>
    </row>
    <row r="466" spans="1:5" x14ac:dyDescent="0.2">
      <c r="A466" t="s">
        <v>1329</v>
      </c>
      <c r="B466" t="s">
        <v>1348</v>
      </c>
      <c r="C466">
        <v>11.2670121559633</v>
      </c>
      <c r="D466">
        <v>77.420343348623902</v>
      </c>
      <c r="E466">
        <f t="shared" si="7"/>
        <v>1604.0984311636576</v>
      </c>
    </row>
    <row r="467" spans="1:5" x14ac:dyDescent="0.2">
      <c r="A467" t="s">
        <v>1329</v>
      </c>
      <c r="B467" t="s">
        <v>1351</v>
      </c>
      <c r="C467">
        <v>12.4964247565118</v>
      </c>
      <c r="D467">
        <v>80.088203601359098</v>
      </c>
      <c r="E467">
        <f t="shared" si="7"/>
        <v>1549.6466300072696</v>
      </c>
    </row>
    <row r="468" spans="1:5" x14ac:dyDescent="0.2">
      <c r="A468" t="s">
        <v>1329</v>
      </c>
      <c r="B468" t="s">
        <v>1354</v>
      </c>
      <c r="C468">
        <v>8.1834663001911991</v>
      </c>
      <c r="D468">
        <v>77.320530640535296</v>
      </c>
      <c r="E468">
        <f t="shared" si="7"/>
        <v>1940.9714261808747</v>
      </c>
    </row>
    <row r="469" spans="1:5" x14ac:dyDescent="0.2">
      <c r="A469" t="s">
        <v>1329</v>
      </c>
      <c r="B469" t="s">
        <v>1357</v>
      </c>
      <c r="C469">
        <v>10.795327766179501</v>
      </c>
      <c r="D469">
        <v>78.087496868475995</v>
      </c>
      <c r="E469">
        <f t="shared" si="7"/>
        <v>1669.610071102278</v>
      </c>
    </row>
    <row r="470" spans="1:5" x14ac:dyDescent="0.2">
      <c r="A470" t="s">
        <v>1329</v>
      </c>
      <c r="B470" t="s">
        <v>1360</v>
      </c>
      <c r="C470">
        <v>9.9043138333333296</v>
      </c>
      <c r="D470">
        <v>78.013660333333306</v>
      </c>
      <c r="E470">
        <f t="shared" si="7"/>
        <v>1765.0164556205737</v>
      </c>
    </row>
    <row r="471" spans="1:5" x14ac:dyDescent="0.2">
      <c r="A471" t="s">
        <v>1329</v>
      </c>
      <c r="B471" t="s">
        <v>1363</v>
      </c>
      <c r="C471">
        <v>10.789468161718199</v>
      </c>
      <c r="D471">
        <v>79.794372994314799</v>
      </c>
      <c r="E471">
        <f t="shared" si="7"/>
        <v>1718.2903323931052</v>
      </c>
    </row>
    <row r="472" spans="1:5" x14ac:dyDescent="0.2">
      <c r="A472" t="s">
        <v>1329</v>
      </c>
      <c r="B472" t="s">
        <v>1366</v>
      </c>
      <c r="C472">
        <v>11.337666384778</v>
      </c>
      <c r="D472">
        <v>78.146248414376302</v>
      </c>
      <c r="E472">
        <f t="shared" si="7"/>
        <v>1612.0949028865534</v>
      </c>
    </row>
    <row r="473" spans="1:5" x14ac:dyDescent="0.2">
      <c r="A473" t="s">
        <v>1329</v>
      </c>
      <c r="B473" t="s">
        <v>1369</v>
      </c>
      <c r="C473">
        <v>11.442361661341801</v>
      </c>
      <c r="D473">
        <v>76.661464217252401</v>
      </c>
      <c r="E473">
        <f t="shared" si="7"/>
        <v>1572.1485687147665</v>
      </c>
    </row>
    <row r="474" spans="1:5" x14ac:dyDescent="0.2">
      <c r="A474" t="s">
        <v>1329</v>
      </c>
      <c r="B474" t="s">
        <v>1371</v>
      </c>
      <c r="C474">
        <v>11.260137758112</v>
      </c>
      <c r="D474">
        <v>78.860340117994099</v>
      </c>
      <c r="E474">
        <f t="shared" si="7"/>
        <v>1639.2296091702649</v>
      </c>
    </row>
    <row r="475" spans="1:5" x14ac:dyDescent="0.2">
      <c r="A475" t="s">
        <v>1329</v>
      </c>
      <c r="B475" t="s">
        <v>1374</v>
      </c>
      <c r="C475">
        <v>10.1305148164335</v>
      </c>
      <c r="D475">
        <v>79.054444842657205</v>
      </c>
      <c r="E475">
        <f t="shared" si="7"/>
        <v>1766.0631580646489</v>
      </c>
    </row>
    <row r="476" spans="1:5" x14ac:dyDescent="0.2">
      <c r="A476" t="s">
        <v>1329</v>
      </c>
      <c r="B476" t="s">
        <v>1377</v>
      </c>
      <c r="C476">
        <v>9.3128699515347595</v>
      </c>
      <c r="D476">
        <v>78.991853624124602</v>
      </c>
      <c r="E476">
        <f t="shared" si="7"/>
        <v>1852.48702394106</v>
      </c>
    </row>
    <row r="477" spans="1:5" x14ac:dyDescent="0.2">
      <c r="A477" t="s">
        <v>1329</v>
      </c>
      <c r="B477" t="s">
        <v>1380</v>
      </c>
      <c r="C477">
        <v>11.6293242021276</v>
      </c>
      <c r="D477">
        <v>78.247825797872295</v>
      </c>
      <c r="E477">
        <f t="shared" si="7"/>
        <v>1583.0014709164432</v>
      </c>
    </row>
    <row r="478" spans="1:5" x14ac:dyDescent="0.2">
      <c r="A478" t="s">
        <v>1329</v>
      </c>
      <c r="B478" t="s">
        <v>1382</v>
      </c>
      <c r="C478">
        <v>9.9603065806451507</v>
      </c>
      <c r="D478">
        <v>78.565357290322495</v>
      </c>
      <c r="E478">
        <f t="shared" si="7"/>
        <v>1771.6064958241582</v>
      </c>
    </row>
    <row r="479" spans="1:5" x14ac:dyDescent="0.2">
      <c r="A479" t="s">
        <v>1329</v>
      </c>
      <c r="B479" t="s">
        <v>1385</v>
      </c>
      <c r="C479">
        <v>10.387692255892199</v>
      </c>
      <c r="D479">
        <v>79.319486910774501</v>
      </c>
      <c r="E479">
        <f t="shared" si="7"/>
        <v>1746.1031397917498</v>
      </c>
    </row>
    <row r="480" spans="1:5" x14ac:dyDescent="0.2">
      <c r="A480" t="s">
        <v>1329</v>
      </c>
      <c r="B480" t="s">
        <v>1387</v>
      </c>
      <c r="C480">
        <v>9.9240666666666595</v>
      </c>
      <c r="D480">
        <v>77.434588333333295</v>
      </c>
      <c r="E480">
        <f t="shared" si="7"/>
        <v>1751.5454598657998</v>
      </c>
    </row>
    <row r="481" spans="1:5" x14ac:dyDescent="0.2">
      <c r="A481" t="s">
        <v>1329</v>
      </c>
      <c r="B481" t="s">
        <v>1390</v>
      </c>
      <c r="C481">
        <v>13.275858101752799</v>
      </c>
      <c r="D481">
        <v>80.197247028644895</v>
      </c>
      <c r="E481">
        <f t="shared" si="7"/>
        <v>1473.4381555279447</v>
      </c>
    </row>
    <row r="482" spans="1:5" x14ac:dyDescent="0.2">
      <c r="A482" t="s">
        <v>1329</v>
      </c>
      <c r="B482" t="s">
        <v>1393</v>
      </c>
      <c r="C482">
        <v>10.3689274093959</v>
      </c>
      <c r="D482">
        <v>79.603228939597201</v>
      </c>
      <c r="E482">
        <f t="shared" si="7"/>
        <v>1756.7837307551804</v>
      </c>
    </row>
    <row r="483" spans="1:5" x14ac:dyDescent="0.2">
      <c r="A483" t="s">
        <v>1329</v>
      </c>
      <c r="B483" t="s">
        <v>1396</v>
      </c>
      <c r="C483">
        <v>8.7209611697027807</v>
      </c>
      <c r="D483">
        <v>78.138326909555502</v>
      </c>
      <c r="E483">
        <f t="shared" si="7"/>
        <v>1896.7893312659444</v>
      </c>
    </row>
    <row r="484" spans="1:5" x14ac:dyDescent="0.2">
      <c r="A484" t="s">
        <v>1329</v>
      </c>
      <c r="B484" t="s">
        <v>1399</v>
      </c>
      <c r="C484">
        <v>10.8378413232104</v>
      </c>
      <c r="D484">
        <v>78.547290021691893</v>
      </c>
      <c r="E484">
        <f t="shared" si="7"/>
        <v>1676.2082640459471</v>
      </c>
    </row>
    <row r="485" spans="1:5" x14ac:dyDescent="0.2">
      <c r="A485" t="s">
        <v>1329</v>
      </c>
      <c r="B485" t="s">
        <v>1402</v>
      </c>
      <c r="C485">
        <v>8.4574307038261605</v>
      </c>
      <c r="D485">
        <v>77.705496362777595</v>
      </c>
      <c r="E485">
        <f t="shared" si="7"/>
        <v>1917.2926366305799</v>
      </c>
    </row>
    <row r="486" spans="1:5" x14ac:dyDescent="0.2">
      <c r="A486" t="s">
        <v>1329</v>
      </c>
      <c r="B486" t="s">
        <v>1404</v>
      </c>
      <c r="C486">
        <v>12.419318947368399</v>
      </c>
      <c r="D486">
        <v>79.232656315789498</v>
      </c>
      <c r="E486">
        <f t="shared" si="7"/>
        <v>1527.0356863353354</v>
      </c>
    </row>
    <row r="487" spans="1:5" x14ac:dyDescent="0.2">
      <c r="A487" t="s">
        <v>1329</v>
      </c>
      <c r="B487" t="s">
        <v>1407</v>
      </c>
      <c r="C487">
        <v>12.784882632293</v>
      </c>
      <c r="D487">
        <v>79.026432835820799</v>
      </c>
      <c r="E487">
        <f t="shared" si="7"/>
        <v>1481.5249057396995</v>
      </c>
    </row>
    <row r="488" spans="1:5" x14ac:dyDescent="0.2">
      <c r="A488" t="s">
        <v>1329</v>
      </c>
      <c r="B488" t="s">
        <v>1410</v>
      </c>
      <c r="C488">
        <v>12.065571352676701</v>
      </c>
      <c r="D488">
        <v>79.689891009399204</v>
      </c>
      <c r="E488">
        <f t="shared" si="7"/>
        <v>1579.9940371979837</v>
      </c>
    </row>
    <row r="489" spans="1:5" x14ac:dyDescent="0.2">
      <c r="A489" t="s">
        <v>1329</v>
      </c>
      <c r="B489" t="s">
        <v>1412</v>
      </c>
      <c r="C489">
        <v>9.4688721958925601</v>
      </c>
      <c r="D489">
        <v>77.876414691943097</v>
      </c>
      <c r="E489">
        <f t="shared" si="7"/>
        <v>1809.7418918147664</v>
      </c>
    </row>
    <row r="490" spans="1:5" x14ac:dyDescent="0.2">
      <c r="A490" t="s">
        <v>1415</v>
      </c>
      <c r="B490" t="s">
        <v>1416</v>
      </c>
      <c r="C490">
        <v>23.781360477941099</v>
      </c>
      <c r="D490">
        <v>91.946542830882294</v>
      </c>
      <c r="E490">
        <f t="shared" si="7"/>
        <v>1758.1275434199133</v>
      </c>
    </row>
    <row r="491" spans="1:5" x14ac:dyDescent="0.2">
      <c r="A491" t="s">
        <v>1415</v>
      </c>
      <c r="B491" t="s">
        <v>1419</v>
      </c>
      <c r="C491">
        <v>24.121739755351602</v>
      </c>
      <c r="D491">
        <v>92.178425382262901</v>
      </c>
      <c r="E491">
        <f t="shared" si="7"/>
        <v>1775.4545711584997</v>
      </c>
    </row>
    <row r="492" spans="1:5" x14ac:dyDescent="0.2">
      <c r="A492" t="s">
        <v>1415</v>
      </c>
      <c r="B492" t="s">
        <v>1422</v>
      </c>
      <c r="C492">
        <v>23.211874098057301</v>
      </c>
      <c r="D492">
        <v>91.606580758556802</v>
      </c>
      <c r="E492">
        <f t="shared" si="7"/>
        <v>1735.7786983551262</v>
      </c>
    </row>
    <row r="493" spans="1:5" x14ac:dyDescent="0.2">
      <c r="A493" t="s">
        <v>1415</v>
      </c>
      <c r="B493" t="s">
        <v>1424</v>
      </c>
      <c r="C493">
        <v>23.780166241299298</v>
      </c>
      <c r="D493">
        <v>91.413107888631004</v>
      </c>
      <c r="E493">
        <f t="shared" si="7"/>
        <v>1704.6436811260878</v>
      </c>
    </row>
    <row r="494" spans="1:5" x14ac:dyDescent="0.2">
      <c r="A494" t="s">
        <v>1427</v>
      </c>
      <c r="B494" t="s">
        <v>1428</v>
      </c>
      <c r="C494">
        <v>26.995129749103899</v>
      </c>
      <c r="D494">
        <v>78.052782915173196</v>
      </c>
      <c r="E494">
        <f t="shared" si="7"/>
        <v>381.28838929017991</v>
      </c>
    </row>
    <row r="495" spans="1:5" x14ac:dyDescent="0.2">
      <c r="A495" t="s">
        <v>1427</v>
      </c>
      <c r="B495" t="s">
        <v>1431</v>
      </c>
      <c r="C495">
        <v>27.937485768500899</v>
      </c>
      <c r="D495">
        <v>78.001468311195495</v>
      </c>
      <c r="E495">
        <f t="shared" si="7"/>
        <v>433.52577632463101</v>
      </c>
    </row>
    <row r="496" spans="1:5" x14ac:dyDescent="0.2">
      <c r="A496" t="s">
        <v>1427</v>
      </c>
      <c r="B496" t="s">
        <v>1434</v>
      </c>
      <c r="C496">
        <v>25.392038662316399</v>
      </c>
      <c r="D496">
        <v>82.051724469820599</v>
      </c>
      <c r="E496">
        <f t="shared" si="7"/>
        <v>744.33273473358713</v>
      </c>
    </row>
    <row r="497" spans="1:5" x14ac:dyDescent="0.2">
      <c r="A497" t="s">
        <v>1427</v>
      </c>
      <c r="B497" t="s">
        <v>1437</v>
      </c>
      <c r="C497">
        <v>26.391190259740199</v>
      </c>
      <c r="D497">
        <v>82.682821428571401</v>
      </c>
      <c r="E497">
        <f t="shared" si="7"/>
        <v>811.02285754616219</v>
      </c>
    </row>
    <row r="498" spans="1:5" x14ac:dyDescent="0.2">
      <c r="A498" t="s">
        <v>1427</v>
      </c>
      <c r="B498" t="s">
        <v>1440</v>
      </c>
      <c r="C498">
        <v>26.6689239401496</v>
      </c>
      <c r="D498">
        <v>79.426370573566004</v>
      </c>
      <c r="E498">
        <f t="shared" si="7"/>
        <v>496.92520475362994</v>
      </c>
    </row>
    <row r="499" spans="1:5" x14ac:dyDescent="0.2">
      <c r="A499" t="s">
        <v>1427</v>
      </c>
      <c r="B499" t="s">
        <v>1443</v>
      </c>
      <c r="C499">
        <v>26.008290954773798</v>
      </c>
      <c r="D499">
        <v>83.012202512562794</v>
      </c>
      <c r="E499">
        <f t="shared" si="7"/>
        <v>840.83570091152637</v>
      </c>
    </row>
    <row r="500" spans="1:5" x14ac:dyDescent="0.2">
      <c r="A500" t="s">
        <v>1427</v>
      </c>
      <c r="B500" t="s">
        <v>1446</v>
      </c>
      <c r="C500">
        <v>28.085956727272698</v>
      </c>
      <c r="D500">
        <v>78.997107999999997</v>
      </c>
      <c r="E500">
        <f t="shared" si="7"/>
        <v>522.41300779007179</v>
      </c>
    </row>
    <row r="501" spans="1:5" x14ac:dyDescent="0.2">
      <c r="A501" t="s">
        <v>1427</v>
      </c>
      <c r="B501" t="s">
        <v>1449</v>
      </c>
      <c r="C501">
        <v>29.045793499999899</v>
      </c>
      <c r="D501">
        <v>77.302662999999995</v>
      </c>
      <c r="E501">
        <f t="shared" si="7"/>
        <v>478.56953115051482</v>
      </c>
    </row>
    <row r="502" spans="1:5" x14ac:dyDescent="0.2">
      <c r="A502" t="s">
        <v>1427</v>
      </c>
      <c r="B502" t="s">
        <v>1452</v>
      </c>
      <c r="C502">
        <v>27.691776300577999</v>
      </c>
      <c r="D502">
        <v>81.467797832369996</v>
      </c>
      <c r="E502">
        <f t="shared" si="7"/>
        <v>723.19133463869684</v>
      </c>
    </row>
    <row r="503" spans="1:5" x14ac:dyDescent="0.2">
      <c r="A503" t="s">
        <v>1427</v>
      </c>
      <c r="B503" t="s">
        <v>1455</v>
      </c>
      <c r="C503">
        <v>25.8607563829787</v>
      </c>
      <c r="D503">
        <v>84.036519787233999</v>
      </c>
      <c r="E503">
        <f t="shared" si="7"/>
        <v>942.78535423211088</v>
      </c>
    </row>
    <row r="504" spans="1:5" x14ac:dyDescent="0.2">
      <c r="A504" t="s">
        <v>1427</v>
      </c>
      <c r="B504" t="s">
        <v>1458</v>
      </c>
      <c r="C504">
        <v>27.449076537911299</v>
      </c>
      <c r="D504">
        <v>82.471583261802493</v>
      </c>
      <c r="E504">
        <f t="shared" si="7"/>
        <v>810.57533492838706</v>
      </c>
    </row>
    <row r="505" spans="1:5" x14ac:dyDescent="0.2">
      <c r="A505" t="s">
        <v>1427</v>
      </c>
      <c r="B505" t="s">
        <v>1461</v>
      </c>
      <c r="C505">
        <v>25.351885902503199</v>
      </c>
      <c r="D505">
        <v>80.524873913043393</v>
      </c>
      <c r="E505">
        <f t="shared" si="7"/>
        <v>591.21405968444174</v>
      </c>
    </row>
    <row r="506" spans="1:5" x14ac:dyDescent="0.2">
      <c r="A506" t="s">
        <v>1427</v>
      </c>
      <c r="B506" t="s">
        <v>1464</v>
      </c>
      <c r="C506">
        <v>26.922777025232399</v>
      </c>
      <c r="D506">
        <v>81.357623505975994</v>
      </c>
      <c r="E506">
        <f t="shared" si="7"/>
        <v>689.92709584650879</v>
      </c>
    </row>
    <row r="507" spans="1:5" x14ac:dyDescent="0.2">
      <c r="A507" t="s">
        <v>1427</v>
      </c>
      <c r="B507" t="s">
        <v>1467</v>
      </c>
      <c r="C507">
        <v>28.5110194078947</v>
      </c>
      <c r="D507">
        <v>79.431870723684099</v>
      </c>
      <c r="E507">
        <f t="shared" si="7"/>
        <v>584.08680845676815</v>
      </c>
    </row>
    <row r="508" spans="1:5" x14ac:dyDescent="0.2">
      <c r="A508" t="s">
        <v>1427</v>
      </c>
      <c r="B508" t="s">
        <v>1470</v>
      </c>
      <c r="C508">
        <v>26.833880454545401</v>
      </c>
      <c r="D508">
        <v>82.697905909090906</v>
      </c>
      <c r="E508">
        <f t="shared" si="7"/>
        <v>818.7923637156847</v>
      </c>
    </row>
    <row r="509" spans="1:5" x14ac:dyDescent="0.2">
      <c r="A509" t="s">
        <v>1427</v>
      </c>
      <c r="B509" t="s">
        <v>1473</v>
      </c>
      <c r="C509">
        <v>29.313974259681</v>
      </c>
      <c r="D509">
        <v>78.450988154897502</v>
      </c>
      <c r="E509">
        <f t="shared" si="7"/>
        <v>570.97087014690328</v>
      </c>
    </row>
    <row r="510" spans="1:5" x14ac:dyDescent="0.2">
      <c r="A510" t="s">
        <v>1427</v>
      </c>
      <c r="B510" t="s">
        <v>1476</v>
      </c>
      <c r="C510">
        <v>28.348758620689601</v>
      </c>
      <c r="D510">
        <v>78.010827586206801</v>
      </c>
      <c r="E510">
        <f t="shared" si="7"/>
        <v>464.24828111699316</v>
      </c>
    </row>
    <row r="511" spans="1:5" x14ac:dyDescent="0.2">
      <c r="A511" t="s">
        <v>1427</v>
      </c>
      <c r="B511" t="s">
        <v>1479</v>
      </c>
      <c r="C511">
        <v>25.1180859611231</v>
      </c>
      <c r="D511">
        <v>83.253070626349796</v>
      </c>
      <c r="E511">
        <f t="shared" si="7"/>
        <v>866.66993617193373</v>
      </c>
    </row>
    <row r="512" spans="1:5" x14ac:dyDescent="0.2">
      <c r="A512" t="s">
        <v>1427</v>
      </c>
      <c r="B512" t="s">
        <v>1481</v>
      </c>
      <c r="C512">
        <v>25.159924623803001</v>
      </c>
      <c r="D512">
        <v>81.0766608755129</v>
      </c>
      <c r="E512">
        <f t="shared" si="7"/>
        <v>647.84329535287895</v>
      </c>
    </row>
    <row r="513" spans="1:5" x14ac:dyDescent="0.2">
      <c r="A513" t="s">
        <v>1427</v>
      </c>
      <c r="B513" t="s">
        <v>1483</v>
      </c>
      <c r="C513">
        <v>26.422188565488501</v>
      </c>
      <c r="D513">
        <v>83.824407068607101</v>
      </c>
      <c r="E513">
        <f t="shared" si="7"/>
        <v>924.5669838887809</v>
      </c>
    </row>
    <row r="514" spans="1:5" x14ac:dyDescent="0.2">
      <c r="A514" t="s">
        <v>1427</v>
      </c>
      <c r="B514" t="s">
        <v>1485</v>
      </c>
      <c r="C514">
        <v>27.5911553097344</v>
      </c>
      <c r="D514">
        <v>78.700218584070797</v>
      </c>
      <c r="E514">
        <f t="shared" si="7"/>
        <v>468.83445807857044</v>
      </c>
    </row>
    <row r="515" spans="1:5" x14ac:dyDescent="0.2">
      <c r="A515" t="s">
        <v>1427</v>
      </c>
      <c r="B515" t="s">
        <v>1488</v>
      </c>
      <c r="C515">
        <v>26.788176701570599</v>
      </c>
      <c r="D515">
        <v>79.076218062827195</v>
      </c>
      <c r="E515">
        <f t="shared" ref="E515:E578" si="8">2*6371*ASIN(SQRT(
    SIN(RADIANS(C515-$L$4)/2)^2 +
    COS(RADIANS($L$4)) * COS(RADIANS(C515)) *
    SIN(RADIANS(D515-$L$5)/2)^2
))</f>
        <v>467.20622732666624</v>
      </c>
    </row>
    <row r="516" spans="1:5" x14ac:dyDescent="0.2">
      <c r="A516" t="s">
        <v>1427</v>
      </c>
      <c r="B516" t="s">
        <v>1491</v>
      </c>
      <c r="C516">
        <v>26.605891851851801</v>
      </c>
      <c r="D516">
        <v>82.007835308642001</v>
      </c>
      <c r="E516">
        <f t="shared" si="8"/>
        <v>747.2193890849012</v>
      </c>
    </row>
    <row r="517" spans="1:5" x14ac:dyDescent="0.2">
      <c r="A517" t="s">
        <v>1427</v>
      </c>
      <c r="B517" t="s">
        <v>1494</v>
      </c>
      <c r="C517">
        <v>27.450632978723402</v>
      </c>
      <c r="D517">
        <v>79.440628457446806</v>
      </c>
      <c r="E517">
        <f t="shared" si="8"/>
        <v>527.09045282507952</v>
      </c>
    </row>
    <row r="518" spans="1:5" x14ac:dyDescent="0.2">
      <c r="A518" t="s">
        <v>1427</v>
      </c>
      <c r="B518" t="s">
        <v>1496</v>
      </c>
      <c r="C518">
        <v>25.837436203090501</v>
      </c>
      <c r="D518">
        <v>80.854162030905002</v>
      </c>
      <c r="E518">
        <f t="shared" si="8"/>
        <v>624.39216739879362</v>
      </c>
    </row>
    <row r="519" spans="1:5" x14ac:dyDescent="0.2">
      <c r="A519" t="s">
        <v>1427</v>
      </c>
      <c r="B519" t="s">
        <v>1498</v>
      </c>
      <c r="C519">
        <v>27.2096399305555</v>
      </c>
      <c r="D519">
        <v>78.426606249999907</v>
      </c>
      <c r="E519">
        <f t="shared" si="8"/>
        <v>425.02726451028792</v>
      </c>
    </row>
    <row r="520" spans="1:5" x14ac:dyDescent="0.2">
      <c r="A520" t="s">
        <v>1427</v>
      </c>
      <c r="B520" t="s">
        <v>1501</v>
      </c>
      <c r="C520">
        <v>28.393311038960999</v>
      </c>
      <c r="D520">
        <v>77.524624675324603</v>
      </c>
      <c r="E520">
        <f t="shared" si="8"/>
        <v>434.52498951686971</v>
      </c>
    </row>
    <row r="521" spans="1:5" x14ac:dyDescent="0.2">
      <c r="A521" t="s">
        <v>1427</v>
      </c>
      <c r="B521" t="s">
        <v>1504</v>
      </c>
      <c r="C521">
        <v>28.749973085846801</v>
      </c>
      <c r="D521">
        <v>77.674418793503406</v>
      </c>
      <c r="E521">
        <f t="shared" si="8"/>
        <v>474.07801911553622</v>
      </c>
    </row>
    <row r="522" spans="1:5" x14ac:dyDescent="0.2">
      <c r="A522" t="s">
        <v>1427</v>
      </c>
      <c r="B522" t="s">
        <v>1507</v>
      </c>
      <c r="C522">
        <v>25.624724775583399</v>
      </c>
      <c r="D522">
        <v>83.536085457809705</v>
      </c>
      <c r="E522">
        <f t="shared" si="8"/>
        <v>892.64821807217493</v>
      </c>
    </row>
    <row r="523" spans="1:5" x14ac:dyDescent="0.2">
      <c r="A523" t="s">
        <v>1427</v>
      </c>
      <c r="B523" t="s">
        <v>1509</v>
      </c>
      <c r="C523">
        <v>27.157215552099501</v>
      </c>
      <c r="D523">
        <v>82.022688802488204</v>
      </c>
      <c r="E523">
        <f t="shared" si="8"/>
        <v>759.87954564774225</v>
      </c>
    </row>
    <row r="524" spans="1:5" x14ac:dyDescent="0.2">
      <c r="A524" t="s">
        <v>1427</v>
      </c>
      <c r="B524" t="s">
        <v>1511</v>
      </c>
      <c r="C524">
        <v>26.6331588679245</v>
      </c>
      <c r="D524">
        <v>83.354956037735803</v>
      </c>
      <c r="E524">
        <f t="shared" si="8"/>
        <v>880.40035328919055</v>
      </c>
    </row>
    <row r="525" spans="1:5" x14ac:dyDescent="0.2">
      <c r="A525" t="s">
        <v>1427</v>
      </c>
      <c r="B525" t="s">
        <v>494</v>
      </c>
      <c r="C525">
        <v>25.738158381502799</v>
      </c>
      <c r="D525">
        <v>79.826194797687805</v>
      </c>
      <c r="E525">
        <f t="shared" si="8"/>
        <v>521.08695704851323</v>
      </c>
    </row>
    <row r="526" spans="1:5" x14ac:dyDescent="0.2">
      <c r="A526" t="s">
        <v>1427</v>
      </c>
      <c r="B526" t="s">
        <v>1515</v>
      </c>
      <c r="C526">
        <v>27.337409090909102</v>
      </c>
      <c r="D526">
        <v>80.264117676767597</v>
      </c>
      <c r="E526">
        <f t="shared" si="8"/>
        <v>598.12437840437451</v>
      </c>
    </row>
    <row r="527" spans="1:5" x14ac:dyDescent="0.2">
      <c r="A527" t="s">
        <v>1427</v>
      </c>
      <c r="B527" t="s">
        <v>1518</v>
      </c>
      <c r="C527">
        <v>27.578146612466099</v>
      </c>
      <c r="D527">
        <v>78.182510840108407</v>
      </c>
      <c r="E527">
        <f t="shared" si="8"/>
        <v>424.47573595751288</v>
      </c>
    </row>
    <row r="528" spans="1:5" x14ac:dyDescent="0.2">
      <c r="A528" t="s">
        <v>1427</v>
      </c>
      <c r="B528" t="s">
        <v>1521</v>
      </c>
      <c r="C528">
        <v>26.067954587155899</v>
      </c>
      <c r="D528">
        <v>79.366869113149903</v>
      </c>
      <c r="E528">
        <f t="shared" si="8"/>
        <v>478.33729871203224</v>
      </c>
    </row>
    <row r="529" spans="1:5" x14ac:dyDescent="0.2">
      <c r="A529" t="s">
        <v>1427</v>
      </c>
      <c r="B529" t="s">
        <v>1524</v>
      </c>
      <c r="C529">
        <v>25.701412809131199</v>
      </c>
      <c r="D529">
        <v>82.543153519340606</v>
      </c>
      <c r="E529">
        <f t="shared" si="8"/>
        <v>793.10123733728005</v>
      </c>
    </row>
    <row r="530" spans="1:5" x14ac:dyDescent="0.2">
      <c r="A530" t="s">
        <v>1427</v>
      </c>
      <c r="B530" t="s">
        <v>1527</v>
      </c>
      <c r="C530">
        <v>25.455815352348999</v>
      </c>
      <c r="D530">
        <v>78.899545805369101</v>
      </c>
      <c r="E530">
        <f t="shared" si="8"/>
        <v>427.70042840171499</v>
      </c>
    </row>
    <row r="531" spans="1:5" x14ac:dyDescent="0.2">
      <c r="A531" t="s">
        <v>1427</v>
      </c>
      <c r="B531" t="s">
        <v>1530</v>
      </c>
      <c r="C531">
        <v>28.870498984771501</v>
      </c>
      <c r="D531">
        <v>78.390093654822394</v>
      </c>
      <c r="E531">
        <f t="shared" si="8"/>
        <v>531.1889462930335</v>
      </c>
    </row>
    <row r="532" spans="1:5" x14ac:dyDescent="0.2">
      <c r="A532" t="s">
        <v>1427</v>
      </c>
      <c r="B532" t="s">
        <v>1533</v>
      </c>
      <c r="C532">
        <v>26.993988617886099</v>
      </c>
      <c r="D532">
        <v>79.644379403794005</v>
      </c>
      <c r="E532">
        <f t="shared" si="8"/>
        <v>527.84311367941541</v>
      </c>
    </row>
    <row r="533" spans="1:5" x14ac:dyDescent="0.2">
      <c r="A533" t="s">
        <v>1427</v>
      </c>
      <c r="B533" t="s">
        <v>1536</v>
      </c>
      <c r="C533">
        <v>26.4304764119601</v>
      </c>
      <c r="D533">
        <v>79.9871008305647</v>
      </c>
      <c r="E533">
        <f t="shared" si="8"/>
        <v>545.64507129010553</v>
      </c>
    </row>
    <row r="534" spans="1:5" x14ac:dyDescent="0.2">
      <c r="A534" t="s">
        <v>1427</v>
      </c>
      <c r="B534" t="s">
        <v>1539</v>
      </c>
      <c r="C534">
        <v>26.370469354838701</v>
      </c>
      <c r="D534">
        <v>80.292515725806496</v>
      </c>
      <c r="E534">
        <f t="shared" si="8"/>
        <v>574.51288508002801</v>
      </c>
    </row>
    <row r="535" spans="1:5" x14ac:dyDescent="0.2">
      <c r="A535" t="s">
        <v>1427</v>
      </c>
      <c r="B535" t="s">
        <v>1541</v>
      </c>
      <c r="C535">
        <v>25.535875320512801</v>
      </c>
      <c r="D535">
        <v>81.418112820512803</v>
      </c>
      <c r="E535">
        <f t="shared" si="8"/>
        <v>680.35175072912057</v>
      </c>
    </row>
    <row r="536" spans="1:5" x14ac:dyDescent="0.2">
      <c r="A536" t="s">
        <v>1427</v>
      </c>
      <c r="B536" t="s">
        <v>1544</v>
      </c>
      <c r="C536">
        <v>26.8925306759098</v>
      </c>
      <c r="D536">
        <v>83.922615424610001</v>
      </c>
      <c r="E536">
        <f t="shared" si="8"/>
        <v>939.93278738074321</v>
      </c>
    </row>
    <row r="537" spans="1:5" x14ac:dyDescent="0.2">
      <c r="A537" t="s">
        <v>1427</v>
      </c>
      <c r="B537" t="s">
        <v>1547</v>
      </c>
      <c r="C537">
        <v>28.091854006243398</v>
      </c>
      <c r="D537">
        <v>80.6473246618107</v>
      </c>
      <c r="E537">
        <f t="shared" si="8"/>
        <v>664.66099383672042</v>
      </c>
    </row>
    <row r="538" spans="1:5" x14ac:dyDescent="0.2">
      <c r="A538" t="s">
        <v>1427</v>
      </c>
      <c r="B538" t="s">
        <v>1550</v>
      </c>
      <c r="C538">
        <v>24.588771610169399</v>
      </c>
      <c r="D538">
        <v>78.600823305084702</v>
      </c>
      <c r="E538">
        <f t="shared" si="8"/>
        <v>410.48551865083567</v>
      </c>
    </row>
    <row r="539" spans="1:5" x14ac:dyDescent="0.2">
      <c r="A539" t="s">
        <v>1427</v>
      </c>
      <c r="B539" t="s">
        <v>1553</v>
      </c>
      <c r="C539">
        <v>26.838233589251399</v>
      </c>
      <c r="D539">
        <v>80.897060268714</v>
      </c>
      <c r="E539">
        <f t="shared" si="8"/>
        <v>643.29458873349756</v>
      </c>
    </row>
    <row r="540" spans="1:5" x14ac:dyDescent="0.2">
      <c r="A540" t="s">
        <v>1427</v>
      </c>
      <c r="B540" t="s">
        <v>1556</v>
      </c>
      <c r="C540">
        <v>27.177099107142801</v>
      </c>
      <c r="D540">
        <v>83.461278571428593</v>
      </c>
      <c r="E540">
        <f t="shared" si="8"/>
        <v>899.7677256190135</v>
      </c>
    </row>
    <row r="541" spans="1:5" x14ac:dyDescent="0.2">
      <c r="A541" t="s">
        <v>1427</v>
      </c>
      <c r="B541" t="s">
        <v>1559</v>
      </c>
      <c r="C541">
        <v>25.345296701388801</v>
      </c>
      <c r="D541">
        <v>79.678630034722104</v>
      </c>
      <c r="E541">
        <f t="shared" si="8"/>
        <v>506.27855733137619</v>
      </c>
    </row>
    <row r="542" spans="1:5" x14ac:dyDescent="0.2">
      <c r="A542" t="s">
        <v>1427</v>
      </c>
      <c r="B542" t="s">
        <v>1562</v>
      </c>
      <c r="C542">
        <v>27.173868623024799</v>
      </c>
      <c r="D542">
        <v>79.035018510157997</v>
      </c>
      <c r="E542">
        <f t="shared" si="8"/>
        <v>478.12010516934646</v>
      </c>
    </row>
    <row r="543" spans="1:5" x14ac:dyDescent="0.2">
      <c r="A543" t="s">
        <v>1427</v>
      </c>
      <c r="B543" t="s">
        <v>1565</v>
      </c>
      <c r="C543">
        <v>27.593904328018201</v>
      </c>
      <c r="D543">
        <v>77.621534168565006</v>
      </c>
      <c r="E543">
        <f t="shared" si="8"/>
        <v>380.48870342513686</v>
      </c>
    </row>
    <row r="544" spans="1:5" x14ac:dyDescent="0.2">
      <c r="A544" t="s">
        <v>1427</v>
      </c>
      <c r="B544" t="s">
        <v>1568</v>
      </c>
      <c r="C544">
        <v>26.0108220379146</v>
      </c>
      <c r="D544">
        <v>83.505826540284303</v>
      </c>
      <c r="E544">
        <f t="shared" si="8"/>
        <v>890.13859383396891</v>
      </c>
    </row>
    <row r="545" spans="1:5" x14ac:dyDescent="0.2">
      <c r="A545" t="s">
        <v>1427</v>
      </c>
      <c r="B545" t="s">
        <v>1571</v>
      </c>
      <c r="C545">
        <v>29.029576256983201</v>
      </c>
      <c r="D545">
        <v>77.806110055865901</v>
      </c>
      <c r="E545">
        <f t="shared" si="8"/>
        <v>506.22911081228528</v>
      </c>
    </row>
    <row r="546" spans="1:5" x14ac:dyDescent="0.2">
      <c r="A546" t="s">
        <v>1427</v>
      </c>
      <c r="B546" t="s">
        <v>1574</v>
      </c>
      <c r="C546">
        <v>25.102079591836699</v>
      </c>
      <c r="D546">
        <v>82.601266285714203</v>
      </c>
      <c r="E546">
        <f t="shared" si="8"/>
        <v>801.36928474094213</v>
      </c>
    </row>
    <row r="547" spans="1:5" x14ac:dyDescent="0.2">
      <c r="A547" t="s">
        <v>1427</v>
      </c>
      <c r="B547" t="s">
        <v>1577</v>
      </c>
      <c r="C547">
        <v>28.851770406189502</v>
      </c>
      <c r="D547">
        <v>78.735801934235894</v>
      </c>
      <c r="E547">
        <f t="shared" si="8"/>
        <v>554.20609903095988</v>
      </c>
    </row>
    <row r="548" spans="1:5" x14ac:dyDescent="0.2">
      <c r="A548" t="s">
        <v>1427</v>
      </c>
      <c r="B548" t="s">
        <v>1580</v>
      </c>
      <c r="C548">
        <v>29.470507977736499</v>
      </c>
      <c r="D548">
        <v>77.640178478664197</v>
      </c>
      <c r="E548">
        <f t="shared" si="8"/>
        <v>536.0321418592589</v>
      </c>
    </row>
    <row r="549" spans="1:5" x14ac:dyDescent="0.2">
      <c r="A549" t="s">
        <v>1427</v>
      </c>
      <c r="B549" t="s">
        <v>1583</v>
      </c>
      <c r="C549">
        <v>28.520241750358601</v>
      </c>
      <c r="D549">
        <v>79.901039741750296</v>
      </c>
      <c r="E549">
        <f t="shared" si="8"/>
        <v>622.99181918698503</v>
      </c>
    </row>
    <row r="550" spans="1:5" x14ac:dyDescent="0.2">
      <c r="A550" t="s">
        <v>1427</v>
      </c>
      <c r="B550" t="s">
        <v>1586</v>
      </c>
      <c r="C550">
        <v>25.864842731707299</v>
      </c>
      <c r="D550">
        <v>81.935300487804895</v>
      </c>
      <c r="E550">
        <f t="shared" si="8"/>
        <v>732.61395413400317</v>
      </c>
    </row>
    <row r="551" spans="1:5" x14ac:dyDescent="0.2">
      <c r="A551" t="s">
        <v>1427</v>
      </c>
      <c r="B551" t="s">
        <v>1589</v>
      </c>
      <c r="C551">
        <v>26.253902840059698</v>
      </c>
      <c r="D551">
        <v>81.222604633781799</v>
      </c>
      <c r="E551">
        <f t="shared" si="8"/>
        <v>664.69224828438666</v>
      </c>
    </row>
    <row r="552" spans="1:5" x14ac:dyDescent="0.2">
      <c r="A552" t="s">
        <v>1427</v>
      </c>
      <c r="B552" t="s">
        <v>1592</v>
      </c>
      <c r="C552">
        <v>28.832447272727201</v>
      </c>
      <c r="D552">
        <v>79.109773333333294</v>
      </c>
      <c r="E552">
        <f t="shared" si="8"/>
        <v>580.4297615913049</v>
      </c>
    </row>
    <row r="553" spans="1:5" x14ac:dyDescent="0.2">
      <c r="A553" t="s">
        <v>1427</v>
      </c>
      <c r="B553" t="s">
        <v>1595</v>
      </c>
      <c r="C553">
        <v>30.033811652173899</v>
      </c>
      <c r="D553">
        <v>77.599051478260904</v>
      </c>
      <c r="E553">
        <f t="shared" si="8"/>
        <v>586.85658565971949</v>
      </c>
    </row>
    <row r="554" spans="1:5" x14ac:dyDescent="0.2">
      <c r="A554" t="s">
        <v>1427</v>
      </c>
      <c r="B554" t="s">
        <v>1598</v>
      </c>
      <c r="C554">
        <v>26.791596516393401</v>
      </c>
      <c r="D554">
        <v>83.038776434426197</v>
      </c>
      <c r="E554">
        <f t="shared" si="8"/>
        <v>851.53455069745996</v>
      </c>
    </row>
    <row r="555" spans="1:5" x14ac:dyDescent="0.2">
      <c r="A555" t="s">
        <v>1427</v>
      </c>
      <c r="B555" t="s">
        <v>1600</v>
      </c>
      <c r="C555">
        <v>25.3645787430684</v>
      </c>
      <c r="D555">
        <v>82.434949907578499</v>
      </c>
      <c r="E555">
        <f t="shared" si="8"/>
        <v>782.92311348096882</v>
      </c>
    </row>
    <row r="556" spans="1:5" x14ac:dyDescent="0.2">
      <c r="A556" t="s">
        <v>1427</v>
      </c>
      <c r="B556" t="s">
        <v>1603</v>
      </c>
      <c r="C556">
        <v>27.9913893506493</v>
      </c>
      <c r="D556">
        <v>79.830227532467504</v>
      </c>
      <c r="E556">
        <f t="shared" si="8"/>
        <v>587.7535138024474</v>
      </c>
    </row>
    <row r="557" spans="1:5" x14ac:dyDescent="0.2">
      <c r="A557" t="s">
        <v>1427</v>
      </c>
      <c r="B557" t="s">
        <v>1605</v>
      </c>
      <c r="C557">
        <v>27.604917877094898</v>
      </c>
      <c r="D557">
        <v>81.793197765363104</v>
      </c>
      <c r="E557">
        <f t="shared" si="8"/>
        <v>750.76306603067133</v>
      </c>
    </row>
    <row r="558" spans="1:5" x14ac:dyDescent="0.2">
      <c r="A558" t="s">
        <v>1427</v>
      </c>
      <c r="B558" t="s">
        <v>1608</v>
      </c>
      <c r="C558">
        <v>27.207384839203701</v>
      </c>
      <c r="D558">
        <v>82.786649923430303</v>
      </c>
      <c r="E558">
        <f t="shared" si="8"/>
        <v>834.91195773754248</v>
      </c>
    </row>
    <row r="559" spans="1:5" x14ac:dyDescent="0.2">
      <c r="A559" t="s">
        <v>1427</v>
      </c>
      <c r="B559" t="s">
        <v>1611</v>
      </c>
      <c r="C559">
        <v>27.501995963091101</v>
      </c>
      <c r="D559">
        <v>80.852888811995399</v>
      </c>
      <c r="E559">
        <f t="shared" si="8"/>
        <v>659.02866577898681</v>
      </c>
    </row>
    <row r="560" spans="1:5" x14ac:dyDescent="0.2">
      <c r="A560" t="s">
        <v>1427</v>
      </c>
      <c r="B560" t="s">
        <v>1614</v>
      </c>
      <c r="C560">
        <v>24.466932688587899</v>
      </c>
      <c r="D560">
        <v>83.068163249516303</v>
      </c>
      <c r="E560">
        <f t="shared" si="8"/>
        <v>856.56602796687639</v>
      </c>
    </row>
    <row r="561" spans="1:5" x14ac:dyDescent="0.2">
      <c r="A561" t="s">
        <v>1427</v>
      </c>
      <c r="B561" t="s">
        <v>1617</v>
      </c>
      <c r="C561">
        <v>26.284638641975299</v>
      </c>
      <c r="D561">
        <v>82.057104567901206</v>
      </c>
      <c r="E561">
        <f t="shared" si="8"/>
        <v>747.81397185004334</v>
      </c>
    </row>
    <row r="562" spans="1:5" x14ac:dyDescent="0.2">
      <c r="A562" t="s">
        <v>1427</v>
      </c>
      <c r="B562" t="s">
        <v>1619</v>
      </c>
      <c r="C562">
        <v>26.631639908952899</v>
      </c>
      <c r="D562">
        <v>80.636773292868</v>
      </c>
      <c r="E562">
        <f t="shared" si="8"/>
        <v>613.30609435524502</v>
      </c>
    </row>
    <row r="563" spans="1:5" x14ac:dyDescent="0.2">
      <c r="A563" t="s">
        <v>1427</v>
      </c>
      <c r="B563" t="s">
        <v>1621</v>
      </c>
      <c r="C563">
        <v>25.360570888888802</v>
      </c>
      <c r="D563">
        <v>82.825296666666702</v>
      </c>
      <c r="E563">
        <f t="shared" si="8"/>
        <v>822.12801527716556</v>
      </c>
    </row>
    <row r="564" spans="1:5" x14ac:dyDescent="0.2">
      <c r="A564" t="s">
        <v>1624</v>
      </c>
      <c r="B564" t="s">
        <v>1625</v>
      </c>
      <c r="C564">
        <v>29.683532133676099</v>
      </c>
      <c r="D564">
        <v>79.501650642673496</v>
      </c>
      <c r="E564">
        <f t="shared" si="8"/>
        <v>671.53244711828427</v>
      </c>
    </row>
    <row r="565" spans="1:5" x14ac:dyDescent="0.2">
      <c r="A565" t="s">
        <v>1624</v>
      </c>
      <c r="B565" t="s">
        <v>1628</v>
      </c>
      <c r="C565">
        <v>29.987033933933901</v>
      </c>
      <c r="D565">
        <v>79.839543543543499</v>
      </c>
      <c r="E565">
        <f t="shared" si="8"/>
        <v>718.39831651519637</v>
      </c>
    </row>
    <row r="566" spans="1:5" x14ac:dyDescent="0.2">
      <c r="A566" t="s">
        <v>1624</v>
      </c>
      <c r="B566" t="s">
        <v>1631</v>
      </c>
      <c r="C566">
        <v>30.583386114649599</v>
      </c>
      <c r="D566">
        <v>79.562810955413994</v>
      </c>
      <c r="E566">
        <f t="shared" si="8"/>
        <v>747.60849236391095</v>
      </c>
    </row>
    <row r="567" spans="1:5" x14ac:dyDescent="0.2">
      <c r="A567" t="s">
        <v>1624</v>
      </c>
      <c r="B567" t="s">
        <v>1634</v>
      </c>
      <c r="C567">
        <v>29.291423939393901</v>
      </c>
      <c r="D567">
        <v>80.077202121212096</v>
      </c>
      <c r="E567">
        <f t="shared" si="8"/>
        <v>685.87201953649128</v>
      </c>
    </row>
    <row r="568" spans="1:5" x14ac:dyDescent="0.2">
      <c r="A568" t="s">
        <v>1624</v>
      </c>
      <c r="B568" t="s">
        <v>1637</v>
      </c>
      <c r="C568">
        <v>30.533333414932699</v>
      </c>
      <c r="D568">
        <v>77.908841248469997</v>
      </c>
      <c r="E568">
        <f t="shared" si="8"/>
        <v>649.81626978346651</v>
      </c>
    </row>
    <row r="569" spans="1:5" x14ac:dyDescent="0.2">
      <c r="A569" t="s">
        <v>1624</v>
      </c>
      <c r="B569" t="s">
        <v>1639</v>
      </c>
      <c r="C569">
        <v>29.886057657657599</v>
      </c>
      <c r="D569">
        <v>77.929800675675693</v>
      </c>
      <c r="E569">
        <f t="shared" si="8"/>
        <v>589.97834193684616</v>
      </c>
    </row>
    <row r="570" spans="1:5" x14ac:dyDescent="0.2">
      <c r="A570" t="s">
        <v>1624</v>
      </c>
      <c r="B570" t="s">
        <v>1642</v>
      </c>
      <c r="C570">
        <v>29.336370528967201</v>
      </c>
      <c r="D570">
        <v>79.499791183879097</v>
      </c>
      <c r="E570">
        <f t="shared" si="8"/>
        <v>645.51670873620981</v>
      </c>
    </row>
    <row r="571" spans="1:5" x14ac:dyDescent="0.2">
      <c r="A571" t="s">
        <v>1624</v>
      </c>
      <c r="B571" t="s">
        <v>1644</v>
      </c>
      <c r="C571">
        <v>29.978067551020398</v>
      </c>
      <c r="D571">
        <v>78.774501632653099</v>
      </c>
      <c r="E571">
        <f t="shared" si="8"/>
        <v>647.21550535217932</v>
      </c>
    </row>
    <row r="572" spans="1:5" x14ac:dyDescent="0.2">
      <c r="A572" t="s">
        <v>1624</v>
      </c>
      <c r="B572" t="s">
        <v>1647</v>
      </c>
      <c r="C572">
        <v>30.147206318681199</v>
      </c>
      <c r="D572">
        <v>80.342292307692304</v>
      </c>
      <c r="E572">
        <f t="shared" si="8"/>
        <v>766.11753007840093</v>
      </c>
    </row>
    <row r="573" spans="1:5" x14ac:dyDescent="0.2">
      <c r="A573" t="s">
        <v>1624</v>
      </c>
      <c r="B573" t="s">
        <v>1650</v>
      </c>
      <c r="C573">
        <v>30.5565775590551</v>
      </c>
      <c r="D573">
        <v>79.094220472440895</v>
      </c>
      <c r="E573">
        <f t="shared" si="8"/>
        <v>716.44432675769065</v>
      </c>
    </row>
    <row r="574" spans="1:5" x14ac:dyDescent="0.2">
      <c r="A574" t="s">
        <v>1624</v>
      </c>
      <c r="B574" t="s">
        <v>1653</v>
      </c>
      <c r="C574">
        <v>30.463700918635102</v>
      </c>
      <c r="D574">
        <v>78.487837926509101</v>
      </c>
      <c r="E574">
        <f t="shared" si="8"/>
        <v>673.30783196460573</v>
      </c>
    </row>
    <row r="575" spans="1:5" x14ac:dyDescent="0.2">
      <c r="A575" t="s">
        <v>1624</v>
      </c>
      <c r="B575" t="s">
        <v>1656</v>
      </c>
      <c r="C575">
        <v>29.027795776772201</v>
      </c>
      <c r="D575">
        <v>79.456290045248906</v>
      </c>
      <c r="E575">
        <f t="shared" si="8"/>
        <v>620.30480174533716</v>
      </c>
    </row>
    <row r="576" spans="1:5" x14ac:dyDescent="0.2">
      <c r="A576" t="s">
        <v>1624</v>
      </c>
      <c r="B576" t="s">
        <v>1659</v>
      </c>
      <c r="C576">
        <v>30.968958552036199</v>
      </c>
      <c r="D576">
        <v>78.568806153846097</v>
      </c>
      <c r="E576">
        <f t="shared" si="8"/>
        <v>724.19402319877656</v>
      </c>
    </row>
    <row r="577" spans="1:5" x14ac:dyDescent="0.2">
      <c r="A577" t="s">
        <v>1662</v>
      </c>
      <c r="B577" t="s">
        <v>1663</v>
      </c>
      <c r="C577">
        <v>23.081280892857102</v>
      </c>
      <c r="D577">
        <v>87.126400535714296</v>
      </c>
      <c r="E577">
        <f t="shared" si="8"/>
        <v>1292.3857950791478</v>
      </c>
    </row>
    <row r="578" spans="1:5" x14ac:dyDescent="0.2">
      <c r="A578" t="s">
        <v>1662</v>
      </c>
      <c r="B578" t="s">
        <v>1666</v>
      </c>
      <c r="C578">
        <v>23.444453888888798</v>
      </c>
      <c r="D578">
        <v>87.815058111111099</v>
      </c>
      <c r="E578">
        <f t="shared" si="8"/>
        <v>1351.6287813768793</v>
      </c>
    </row>
    <row r="579" spans="1:5" x14ac:dyDescent="0.2">
      <c r="A579" t="s">
        <v>1662</v>
      </c>
      <c r="B579" t="s">
        <v>1668</v>
      </c>
      <c r="C579">
        <v>24.063893427229999</v>
      </c>
      <c r="D579">
        <v>87.651530892018798</v>
      </c>
      <c r="E579">
        <f t="shared" ref="E579:E595" si="9">2*6371*ASIN(SQRT(
    SIN(RADIANS(C579-$L$4)/2)^2 +
    COS(RADIANS($L$4)) * COS(RADIANS(C579)) *
    SIN(RADIANS(D579-$L$5)/2)^2
))</f>
        <v>1322.368030576072</v>
      </c>
    </row>
    <row r="580" spans="1:5" x14ac:dyDescent="0.2">
      <c r="A580" t="s">
        <v>1662</v>
      </c>
      <c r="B580" t="s">
        <v>1670</v>
      </c>
      <c r="C580">
        <v>25.342094363021399</v>
      </c>
      <c r="D580">
        <v>88.6982167981961</v>
      </c>
      <c r="E580">
        <f t="shared" si="9"/>
        <v>1411.584786924501</v>
      </c>
    </row>
    <row r="581" spans="1:5" x14ac:dyDescent="0.2">
      <c r="A581" t="s">
        <v>1662</v>
      </c>
      <c r="B581" t="s">
        <v>1673</v>
      </c>
      <c r="C581">
        <v>26.8396195710455</v>
      </c>
      <c r="D581">
        <v>88.331450670241196</v>
      </c>
      <c r="E581">
        <f t="shared" si="9"/>
        <v>1374.7007134175033</v>
      </c>
    </row>
    <row r="582" spans="1:5" x14ac:dyDescent="0.2">
      <c r="A582" t="s">
        <v>1662</v>
      </c>
      <c r="B582" t="s">
        <v>1676</v>
      </c>
      <c r="C582">
        <v>21.991997254809899</v>
      </c>
      <c r="D582">
        <v>87.922808259033403</v>
      </c>
      <c r="E582">
        <f t="shared" si="9"/>
        <v>1405.1017699245701</v>
      </c>
    </row>
    <row r="583" spans="1:5" x14ac:dyDescent="0.2">
      <c r="A583" t="s">
        <v>1662</v>
      </c>
      <c r="B583" t="s">
        <v>1678</v>
      </c>
      <c r="C583">
        <v>22.4016741744285</v>
      </c>
      <c r="D583">
        <v>87.994211769686501</v>
      </c>
      <c r="E583">
        <f t="shared" si="9"/>
        <v>1398.3440388489516</v>
      </c>
    </row>
    <row r="584" spans="1:5" x14ac:dyDescent="0.2">
      <c r="A584" t="s">
        <v>1662</v>
      </c>
      <c r="B584" t="s">
        <v>1681</v>
      </c>
      <c r="C584">
        <v>22.879292647058801</v>
      </c>
      <c r="D584">
        <v>88.000102647058895</v>
      </c>
      <c r="E584">
        <f t="shared" si="9"/>
        <v>1384.6020346581124</v>
      </c>
    </row>
    <row r="585" spans="1:5" x14ac:dyDescent="0.2">
      <c r="A585" t="s">
        <v>1662</v>
      </c>
      <c r="B585" t="s">
        <v>1684</v>
      </c>
      <c r="C585">
        <v>26.626420312499999</v>
      </c>
      <c r="D585">
        <v>89.041543750000002</v>
      </c>
      <c r="E585">
        <f t="shared" si="9"/>
        <v>1444.0342003089545</v>
      </c>
    </row>
    <row r="586" spans="1:5" x14ac:dyDescent="0.2">
      <c r="A586" t="s">
        <v>1662</v>
      </c>
      <c r="B586" t="s">
        <v>1687</v>
      </c>
      <c r="C586">
        <v>26.250516110304702</v>
      </c>
      <c r="D586">
        <v>89.3061382680214</v>
      </c>
      <c r="E586">
        <f t="shared" si="9"/>
        <v>1469.5659720274189</v>
      </c>
    </row>
    <row r="587" spans="1:5" x14ac:dyDescent="0.2">
      <c r="A587" t="s">
        <v>1662</v>
      </c>
      <c r="B587" t="s">
        <v>1690</v>
      </c>
      <c r="C587">
        <v>22.550581481481402</v>
      </c>
      <c r="D587">
        <v>88.352764814814805</v>
      </c>
      <c r="E587">
        <f t="shared" si="9"/>
        <v>1429.0904193589543</v>
      </c>
    </row>
    <row r="588" spans="1:5" x14ac:dyDescent="0.2">
      <c r="A588" t="s">
        <v>1662</v>
      </c>
      <c r="B588" t="s">
        <v>1692</v>
      </c>
      <c r="C588">
        <v>25.080268025751</v>
      </c>
      <c r="D588">
        <v>88.171916845493499</v>
      </c>
      <c r="E588">
        <f t="shared" si="9"/>
        <v>1360.834885090429</v>
      </c>
    </row>
    <row r="589" spans="1:5" x14ac:dyDescent="0.2">
      <c r="A589" t="s">
        <v>1662</v>
      </c>
      <c r="B589" t="s">
        <v>1695</v>
      </c>
      <c r="C589">
        <v>24.259506553911201</v>
      </c>
      <c r="D589">
        <v>88.1681686046512</v>
      </c>
      <c r="E589">
        <f t="shared" si="9"/>
        <v>1370.7958262249622</v>
      </c>
    </row>
    <row r="590" spans="1:5" x14ac:dyDescent="0.2">
      <c r="A590" t="s">
        <v>1662</v>
      </c>
      <c r="B590" t="s">
        <v>1698</v>
      </c>
      <c r="C590">
        <v>23.564109710550799</v>
      </c>
      <c r="D590">
        <v>88.582930345471496</v>
      </c>
      <c r="E590">
        <f t="shared" si="9"/>
        <v>1425.5777400424743</v>
      </c>
    </row>
    <row r="591" spans="1:5" x14ac:dyDescent="0.2">
      <c r="A591" t="s">
        <v>1662</v>
      </c>
      <c r="B591" t="s">
        <v>1701</v>
      </c>
      <c r="C591">
        <v>22.062388450676799</v>
      </c>
      <c r="D591">
        <v>88.877939608023397</v>
      </c>
      <c r="E591">
        <f t="shared" si="9"/>
        <v>1496.3664386535115</v>
      </c>
    </row>
    <row r="592" spans="1:5" x14ac:dyDescent="0.2">
      <c r="A592" t="s">
        <v>1662</v>
      </c>
      <c r="B592" t="s">
        <v>1704</v>
      </c>
      <c r="C592">
        <v>23.2541923287671</v>
      </c>
      <c r="D592">
        <v>86.396853287671306</v>
      </c>
      <c r="E592">
        <f t="shared" si="9"/>
        <v>1215.3685802266587</v>
      </c>
    </row>
    <row r="593" spans="1:5" x14ac:dyDescent="0.2">
      <c r="A593" t="s">
        <v>1662</v>
      </c>
      <c r="B593" t="s">
        <v>1706</v>
      </c>
      <c r="C593">
        <v>21.854427507265999</v>
      </c>
      <c r="D593">
        <v>88.445369708277696</v>
      </c>
      <c r="E593">
        <f t="shared" si="9"/>
        <v>1461.0725266147301</v>
      </c>
    </row>
    <row r="594" spans="1:5" x14ac:dyDescent="0.2">
      <c r="A594" t="s">
        <v>1662</v>
      </c>
      <c r="B594" t="s">
        <v>1709</v>
      </c>
      <c r="C594">
        <v>26.044619165196899</v>
      </c>
      <c r="D594">
        <v>88.2359523221633</v>
      </c>
      <c r="E594">
        <f t="shared" si="9"/>
        <v>1362.7353678676086</v>
      </c>
    </row>
    <row r="595" spans="1:5" x14ac:dyDescent="0.2">
      <c r="A595" t="s">
        <v>1662</v>
      </c>
      <c r="B595" t="s">
        <v>1712</v>
      </c>
      <c r="C595">
        <v>22.3548969196919</v>
      </c>
      <c r="D595">
        <v>87.231014411441194</v>
      </c>
      <c r="E595">
        <f t="shared" si="9"/>
        <v>1324.8754582638705</v>
      </c>
    </row>
  </sheetData>
  <mergeCells count="1"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C980-E3D3-524D-81BE-AB78470261B1}">
  <dimension ref="A1:V529"/>
  <sheetViews>
    <sheetView workbookViewId="0">
      <selection sqref="A1:L2"/>
    </sheetView>
  </sheetViews>
  <sheetFormatPr baseColWidth="10" defaultColWidth="8.83203125" defaultRowHeight="16" x14ac:dyDescent="0.2"/>
  <cols>
    <col min="1" max="1" width="7.5" customWidth="1"/>
    <col min="2" max="2" width="17.5" customWidth="1"/>
    <col min="3" max="3" width="6.6640625" customWidth="1"/>
    <col min="4" max="4" width="5.33203125" customWidth="1"/>
    <col min="5" max="5" width="20.33203125" customWidth="1"/>
    <col min="6" max="6" width="17.5" customWidth="1"/>
    <col min="7" max="7" width="12.6640625" bestFit="1" customWidth="1"/>
    <col min="8" max="8" width="12.5" customWidth="1"/>
    <col min="9" max="9" width="13.33203125" bestFit="1" customWidth="1"/>
    <col min="13" max="13" width="17" customWidth="1"/>
    <col min="14" max="14" width="10.5" customWidth="1"/>
    <col min="15" max="15" width="14.33203125" customWidth="1"/>
  </cols>
  <sheetData>
    <row r="1" spans="1:22" s="5" customFormat="1" x14ac:dyDescent="0.2">
      <c r="A1" s="5" t="s">
        <v>1747</v>
      </c>
      <c r="B1" s="5" t="s">
        <v>1748</v>
      </c>
      <c r="C1" s="5" t="s">
        <v>1749</v>
      </c>
      <c r="D1" s="5" t="s">
        <v>1750</v>
      </c>
      <c r="E1" s="5" t="s">
        <v>1751</v>
      </c>
      <c r="F1" s="5" t="s">
        <v>1752</v>
      </c>
      <c r="G1" s="5" t="s">
        <v>1753</v>
      </c>
      <c r="H1" s="5" t="s">
        <v>1754</v>
      </c>
      <c r="I1" s="5" t="s">
        <v>1755</v>
      </c>
      <c r="J1" s="5" t="s">
        <v>1728</v>
      </c>
      <c r="K1" s="5" t="s">
        <v>1729</v>
      </c>
      <c r="L1" s="5" t="s">
        <v>1756</v>
      </c>
      <c r="M1" s="5" t="s">
        <v>1757</v>
      </c>
      <c r="N1" s="5" t="s">
        <v>1758</v>
      </c>
      <c r="O1" s="5" t="s">
        <v>1759</v>
      </c>
    </row>
    <row r="2" spans="1:22" x14ac:dyDescent="0.2">
      <c r="A2">
        <v>1</v>
      </c>
      <c r="B2" t="s">
        <v>1760</v>
      </c>
      <c r="C2" t="s">
        <v>1761</v>
      </c>
      <c r="D2">
        <v>3192</v>
      </c>
      <c r="E2" t="s">
        <v>1762</v>
      </c>
      <c r="F2" t="s">
        <v>1763</v>
      </c>
      <c r="G2" t="s">
        <v>1764</v>
      </c>
      <c r="H2">
        <v>108058</v>
      </c>
      <c r="I2">
        <v>423</v>
      </c>
      <c r="J2">
        <v>11.623377400000001</v>
      </c>
      <c r="K2">
        <v>92.726482799999999</v>
      </c>
      <c r="L2">
        <v>16.129039760000001</v>
      </c>
      <c r="M2">
        <f>2*6371*ASIN(SQRT(
    SIN(RADIANS(J2-$V$6)/2)^2 +
    COS(RADIANS($V$6)) * COS(RADIANS(J2)) *
    SIN(RADIANS(K2-$V$7)/2)^2
))</f>
        <v>2380.0975017386204</v>
      </c>
      <c r="N2">
        <f>($V$5-L2)/(M2*1000)*100</f>
        <v>7.3080317891574213E-3</v>
      </c>
      <c r="O2">
        <f>DEGREES(ATAN($V$5-L2)/(M2*1000))</f>
        <v>3.767517953990926E-5</v>
      </c>
    </row>
    <row r="3" spans="1:22" x14ac:dyDescent="0.2">
      <c r="A3">
        <v>2</v>
      </c>
      <c r="B3" t="s">
        <v>1765</v>
      </c>
      <c r="C3" t="s">
        <v>40</v>
      </c>
      <c r="D3">
        <v>8512</v>
      </c>
      <c r="E3" t="s">
        <v>11</v>
      </c>
      <c r="F3" t="s">
        <v>1766</v>
      </c>
      <c r="G3" t="s">
        <v>1767</v>
      </c>
      <c r="H3">
        <v>166537</v>
      </c>
      <c r="I3">
        <v>261</v>
      </c>
      <c r="J3">
        <v>15.6322227</v>
      </c>
      <c r="K3">
        <v>77.272836799999993</v>
      </c>
      <c r="L3">
        <v>425.79953</v>
      </c>
      <c r="M3">
        <f t="shared" ref="M3:M66" si="0">2*6371*ASIN(SQRT(
    SIN(RADIANS(J3-$V$6)/2)^2 +
    COS(RADIANS($V$6)) * COS(RADIANS(J3)) *
    SIN(RADIANS(K3-$V$7)/2)^2
))</f>
        <v>1474.0044592032716</v>
      </c>
      <c r="N3">
        <f t="shared" ref="N3:N66" si="1">($V$5-L3)/(M3*1000)*100</f>
        <v>-1.5992638741908413E-2</v>
      </c>
      <c r="O3">
        <f t="shared" ref="O3:O66" si="2">DEGREES(ATAN($V$5-L3)/(M3*1000))</f>
        <v>-6.089326689219144E-5</v>
      </c>
    </row>
    <row r="4" spans="1:22" x14ac:dyDescent="0.2">
      <c r="A4">
        <v>3</v>
      </c>
      <c r="B4" t="s">
        <v>1768</v>
      </c>
      <c r="C4" t="s">
        <v>25</v>
      </c>
      <c r="D4">
        <v>866</v>
      </c>
      <c r="E4" t="s">
        <v>11</v>
      </c>
      <c r="F4" t="s">
        <v>1766</v>
      </c>
      <c r="G4" t="s">
        <v>1767</v>
      </c>
      <c r="H4">
        <v>103000</v>
      </c>
      <c r="I4">
        <v>446</v>
      </c>
      <c r="J4">
        <v>16.574517</v>
      </c>
      <c r="K4">
        <v>80.359012000000007</v>
      </c>
      <c r="L4">
        <v>34.706436160000003</v>
      </c>
      <c r="M4">
        <f t="shared" si="0"/>
        <v>1365.0613105786322</v>
      </c>
      <c r="N4">
        <f t="shared" si="1"/>
        <v>1.1381238662030828E-2</v>
      </c>
      <c r="O4">
        <f t="shared" si="2"/>
        <v>6.5660943477907838E-5</v>
      </c>
      <c r="U4" s="52" t="s">
        <v>2140</v>
      </c>
      <c r="V4" s="52"/>
    </row>
    <row r="5" spans="1:22" x14ac:dyDescent="0.2">
      <c r="A5">
        <v>4</v>
      </c>
      <c r="B5" t="s">
        <v>15</v>
      </c>
      <c r="C5" t="s">
        <v>15</v>
      </c>
      <c r="D5">
        <v>8554</v>
      </c>
      <c r="E5" t="s">
        <v>11</v>
      </c>
      <c r="F5" t="s">
        <v>1766</v>
      </c>
      <c r="G5" t="s">
        <v>1767</v>
      </c>
      <c r="H5">
        <v>268503</v>
      </c>
      <c r="I5">
        <v>168</v>
      </c>
      <c r="J5">
        <v>14.681887700000001</v>
      </c>
      <c r="K5">
        <v>77.600591100000003</v>
      </c>
      <c r="L5">
        <v>348.90185550000001</v>
      </c>
      <c r="M5">
        <f t="shared" si="0"/>
        <v>1575.5056354336061</v>
      </c>
      <c r="N5">
        <f t="shared" si="1"/>
        <v>-1.0081495751444014E-2</v>
      </c>
      <c r="O5">
        <f t="shared" si="2"/>
        <v>-5.6895561995487361E-5</v>
      </c>
      <c r="U5" s="38" t="s">
        <v>1769</v>
      </c>
      <c r="V5" s="38">
        <f>_xlfn.XLOOKUP(V8,B2:B595, L2:L595)</f>
        <v>190.0673218</v>
      </c>
    </row>
    <row r="6" spans="1:22" x14ac:dyDescent="0.2">
      <c r="A6">
        <v>5</v>
      </c>
      <c r="B6" t="s">
        <v>1770</v>
      </c>
      <c r="C6" t="s">
        <v>1771</v>
      </c>
      <c r="D6">
        <v>8816</v>
      </c>
      <c r="E6" t="s">
        <v>11</v>
      </c>
      <c r="F6" t="s">
        <v>1766</v>
      </c>
      <c r="G6" t="s">
        <v>1767</v>
      </c>
      <c r="H6">
        <v>142280</v>
      </c>
      <c r="I6">
        <v>319</v>
      </c>
      <c r="J6">
        <v>16.544709000000001</v>
      </c>
      <c r="K6">
        <v>81.520593000000005</v>
      </c>
      <c r="L6">
        <v>8.0321578979999995</v>
      </c>
      <c r="M6">
        <f t="shared" si="0"/>
        <v>1385.2693759189376</v>
      </c>
      <c r="N6">
        <f t="shared" si="1"/>
        <v>1.3140777314971281E-2</v>
      </c>
      <c r="O6">
        <f t="shared" si="2"/>
        <v>6.4742102555904454E-5</v>
      </c>
      <c r="U6" s="38" t="s">
        <v>2</v>
      </c>
      <c r="V6" s="38">
        <f>_xlfn.XLOOKUP(V8,B2:B595, J2:J595)</f>
        <v>28.789304099999999</v>
      </c>
    </row>
    <row r="7" spans="1:22" x14ac:dyDescent="0.2">
      <c r="A7">
        <v>6</v>
      </c>
      <c r="B7" t="s">
        <v>1772</v>
      </c>
      <c r="C7" t="s">
        <v>25</v>
      </c>
      <c r="D7">
        <v>8646</v>
      </c>
      <c r="E7" t="s">
        <v>11</v>
      </c>
      <c r="F7" t="s">
        <v>1766</v>
      </c>
      <c r="G7" t="s">
        <v>1767</v>
      </c>
      <c r="H7">
        <v>101398</v>
      </c>
      <c r="I7">
        <v>457</v>
      </c>
      <c r="J7">
        <v>16.092430100000001</v>
      </c>
      <c r="K7">
        <v>80.162394800000001</v>
      </c>
      <c r="L7">
        <v>34.299980159999997</v>
      </c>
      <c r="M7">
        <f t="shared" si="0"/>
        <v>1416.6294935599724</v>
      </c>
      <c r="N7">
        <f t="shared" si="1"/>
        <v>1.0995630286403159E-2</v>
      </c>
      <c r="O7">
        <f t="shared" si="2"/>
        <v>6.327143140976838E-5</v>
      </c>
      <c r="U7" s="38" t="s">
        <v>3</v>
      </c>
      <c r="V7" s="38">
        <f>_xlfn.XLOOKUP(V8,B2:B595, K2:K595)</f>
        <v>79.024951599999994</v>
      </c>
    </row>
    <row r="8" spans="1:22" x14ac:dyDescent="0.2">
      <c r="A8">
        <v>7</v>
      </c>
      <c r="B8" t="s">
        <v>17</v>
      </c>
      <c r="C8" t="s">
        <v>17</v>
      </c>
      <c r="D8">
        <v>8572</v>
      </c>
      <c r="E8" t="s">
        <v>11</v>
      </c>
      <c r="F8" t="s">
        <v>1766</v>
      </c>
      <c r="G8" t="s">
        <v>1767</v>
      </c>
      <c r="H8">
        <v>153766</v>
      </c>
      <c r="I8">
        <v>289</v>
      </c>
      <c r="J8">
        <v>13.217176</v>
      </c>
      <c r="K8">
        <v>79.100328899999994</v>
      </c>
      <c r="L8">
        <v>310.48046879999998</v>
      </c>
      <c r="M8">
        <f t="shared" si="0"/>
        <v>1731.5591639189086</v>
      </c>
      <c r="N8">
        <f t="shared" si="1"/>
        <v>-6.954030189039449E-3</v>
      </c>
      <c r="O8">
        <f t="shared" si="2"/>
        <v>-5.1701487419106831E-5</v>
      </c>
      <c r="U8" s="39" t="s">
        <v>1745</v>
      </c>
      <c r="V8" s="39" t="s">
        <v>1727</v>
      </c>
    </row>
    <row r="9" spans="1:22" x14ac:dyDescent="0.2">
      <c r="A9">
        <v>8</v>
      </c>
      <c r="B9" t="s">
        <v>1773</v>
      </c>
      <c r="C9" t="s">
        <v>15</v>
      </c>
      <c r="D9">
        <v>8559</v>
      </c>
      <c r="E9" t="s">
        <v>11</v>
      </c>
      <c r="F9" t="s">
        <v>1766</v>
      </c>
      <c r="G9" t="s">
        <v>1767</v>
      </c>
      <c r="H9">
        <v>121874</v>
      </c>
      <c r="I9">
        <v>369</v>
      </c>
      <c r="J9">
        <v>14.422732999999999</v>
      </c>
      <c r="K9">
        <v>77.721472000000006</v>
      </c>
      <c r="L9">
        <v>366.43225100000001</v>
      </c>
      <c r="M9">
        <f t="shared" si="0"/>
        <v>1603.1196705506468</v>
      </c>
      <c r="N9">
        <f t="shared" si="1"/>
        <v>-1.1001357692743012E-2</v>
      </c>
      <c r="O9">
        <f t="shared" si="2"/>
        <v>-5.5937890685020099E-5</v>
      </c>
    </row>
    <row r="10" spans="1:22" x14ac:dyDescent="0.2">
      <c r="A10">
        <v>9</v>
      </c>
      <c r="B10" t="s">
        <v>1774</v>
      </c>
      <c r="C10" t="s">
        <v>1771</v>
      </c>
      <c r="D10">
        <v>8812</v>
      </c>
      <c r="E10" t="s">
        <v>11</v>
      </c>
      <c r="F10" t="s">
        <v>1766</v>
      </c>
      <c r="G10" t="s">
        <v>1767</v>
      </c>
      <c r="H10">
        <v>217876</v>
      </c>
      <c r="I10">
        <v>201</v>
      </c>
      <c r="J10">
        <v>16.710660399999998</v>
      </c>
      <c r="K10">
        <v>81.095243100000005</v>
      </c>
      <c r="L10">
        <v>21.155292509999999</v>
      </c>
      <c r="M10">
        <f t="shared" si="0"/>
        <v>1359.6646121401261</v>
      </c>
      <c r="N10">
        <f t="shared" si="1"/>
        <v>1.2423065790035583E-2</v>
      </c>
      <c r="O10">
        <f t="shared" si="2"/>
        <v>6.5943320369291753E-5</v>
      </c>
    </row>
    <row r="11" spans="1:22" x14ac:dyDescent="0.2">
      <c r="A11">
        <v>10</v>
      </c>
      <c r="B11" t="s">
        <v>1775</v>
      </c>
      <c r="C11" t="s">
        <v>37</v>
      </c>
      <c r="D11">
        <v>8674</v>
      </c>
      <c r="E11" t="s">
        <v>11</v>
      </c>
      <c r="F11" t="s">
        <v>1766</v>
      </c>
      <c r="G11" t="s">
        <v>1767</v>
      </c>
      <c r="H11">
        <v>118167</v>
      </c>
      <c r="I11">
        <v>381</v>
      </c>
      <c r="J11">
        <v>16.441025499999999</v>
      </c>
      <c r="K11">
        <v>80.992632700000001</v>
      </c>
      <c r="L11">
        <v>12.98032093</v>
      </c>
      <c r="M11">
        <f t="shared" si="0"/>
        <v>1387.754245225965</v>
      </c>
      <c r="N11">
        <f t="shared" si="1"/>
        <v>1.2760688823629959E-2</v>
      </c>
      <c r="O11">
        <f t="shared" si="2"/>
        <v>6.4619840156243349E-5</v>
      </c>
    </row>
    <row r="12" spans="1:22" x14ac:dyDescent="0.2">
      <c r="A12">
        <v>11</v>
      </c>
      <c r="B12" t="s">
        <v>1776</v>
      </c>
      <c r="C12" t="s">
        <v>15</v>
      </c>
      <c r="D12">
        <v>8552</v>
      </c>
      <c r="E12" t="s">
        <v>11</v>
      </c>
      <c r="F12" t="s">
        <v>1766</v>
      </c>
      <c r="G12" t="s">
        <v>1767</v>
      </c>
      <c r="H12">
        <v>126270</v>
      </c>
      <c r="I12">
        <v>359</v>
      </c>
      <c r="J12">
        <v>15.1674091</v>
      </c>
      <c r="K12">
        <v>77.373623800000004</v>
      </c>
      <c r="L12">
        <v>456.15231319999998</v>
      </c>
      <c r="M12">
        <f t="shared" si="0"/>
        <v>1524.1594366315167</v>
      </c>
      <c r="N12">
        <f t="shared" si="1"/>
        <v>-1.7457818716660228E-2</v>
      </c>
      <c r="O12">
        <f t="shared" si="2"/>
        <v>-5.8907664112873225E-5</v>
      </c>
    </row>
    <row r="13" spans="1:22" x14ac:dyDescent="0.2">
      <c r="A13">
        <v>12</v>
      </c>
      <c r="B13" t="s">
        <v>25</v>
      </c>
      <c r="C13" t="s">
        <v>25</v>
      </c>
      <c r="D13">
        <v>863</v>
      </c>
      <c r="E13" t="s">
        <v>11</v>
      </c>
      <c r="F13" t="s">
        <v>1766</v>
      </c>
      <c r="G13" t="s">
        <v>1767</v>
      </c>
      <c r="H13">
        <v>743354</v>
      </c>
      <c r="I13">
        <v>61</v>
      </c>
      <c r="J13">
        <v>16.306652499999998</v>
      </c>
      <c r="K13">
        <v>80.436540199999996</v>
      </c>
      <c r="L13">
        <v>39.716037749999998</v>
      </c>
      <c r="M13">
        <f t="shared" si="0"/>
        <v>1395.5116330714282</v>
      </c>
      <c r="N13">
        <f t="shared" si="1"/>
        <v>1.0773918359898358E-2</v>
      </c>
      <c r="O13">
        <f t="shared" si="2"/>
        <v>6.4219404610713575E-5</v>
      </c>
    </row>
    <row r="14" spans="1:22" x14ac:dyDescent="0.2">
      <c r="A14">
        <v>13</v>
      </c>
      <c r="B14" t="s">
        <v>1777</v>
      </c>
      <c r="C14" t="s">
        <v>15</v>
      </c>
      <c r="D14">
        <v>8556</v>
      </c>
      <c r="E14" t="s">
        <v>11</v>
      </c>
      <c r="F14" t="s">
        <v>1766</v>
      </c>
      <c r="G14" t="s">
        <v>1767</v>
      </c>
      <c r="H14">
        <v>151835</v>
      </c>
      <c r="I14">
        <v>292</v>
      </c>
      <c r="J14">
        <v>13.829069</v>
      </c>
      <c r="K14">
        <v>77.491834999999995</v>
      </c>
      <c r="L14">
        <v>628.66442870000003</v>
      </c>
      <c r="M14">
        <f t="shared" si="0"/>
        <v>1671.0038994695822</v>
      </c>
      <c r="N14">
        <f t="shared" si="1"/>
        <v>-2.6247521447389895E-2</v>
      </c>
      <c r="O14">
        <f t="shared" si="2"/>
        <v>-5.3781661467680542E-5</v>
      </c>
    </row>
    <row r="15" spans="1:22" x14ac:dyDescent="0.2">
      <c r="A15">
        <v>14</v>
      </c>
      <c r="B15" t="s">
        <v>1778</v>
      </c>
      <c r="C15" t="s">
        <v>1778</v>
      </c>
      <c r="D15">
        <v>8562</v>
      </c>
      <c r="E15" t="s">
        <v>11</v>
      </c>
      <c r="F15" t="s">
        <v>1766</v>
      </c>
      <c r="G15" t="s">
        <v>1767</v>
      </c>
      <c r="H15">
        <v>341823</v>
      </c>
      <c r="I15">
        <v>129</v>
      </c>
      <c r="J15">
        <v>14.4673541</v>
      </c>
      <c r="K15">
        <v>78.824133900000007</v>
      </c>
      <c r="L15">
        <v>137.4309082</v>
      </c>
      <c r="M15">
        <f t="shared" si="0"/>
        <v>1592.662418045059</v>
      </c>
      <c r="N15">
        <f t="shared" si="1"/>
        <v>3.3049322319421257E-3</v>
      </c>
      <c r="O15">
        <f t="shared" si="2"/>
        <v>5.5825773311635371E-5</v>
      </c>
    </row>
    <row r="16" spans="1:22" x14ac:dyDescent="0.2">
      <c r="A16">
        <v>15</v>
      </c>
      <c r="B16" t="s">
        <v>1779</v>
      </c>
      <c r="C16" t="s">
        <v>1318</v>
      </c>
      <c r="D16">
        <v>884</v>
      </c>
      <c r="E16" t="s">
        <v>11</v>
      </c>
      <c r="F16" t="s">
        <v>1766</v>
      </c>
      <c r="G16" t="s">
        <v>1767</v>
      </c>
      <c r="H16">
        <v>312255</v>
      </c>
      <c r="I16">
        <v>141</v>
      </c>
      <c r="J16">
        <v>16.989064800000001</v>
      </c>
      <c r="K16">
        <v>82.247464800000003</v>
      </c>
      <c r="L16">
        <v>7.0532350539999999</v>
      </c>
      <c r="M16">
        <f t="shared" si="0"/>
        <v>1352.7948768570466</v>
      </c>
      <c r="N16">
        <f t="shared" si="1"/>
        <v>1.3528591058180035E-2</v>
      </c>
      <c r="O16">
        <f t="shared" si="2"/>
        <v>6.6297512695758344E-5</v>
      </c>
    </row>
    <row r="17" spans="1:15" x14ac:dyDescent="0.2">
      <c r="A17">
        <v>16</v>
      </c>
      <c r="B17" t="s">
        <v>40</v>
      </c>
      <c r="C17" t="s">
        <v>40</v>
      </c>
      <c r="D17">
        <v>8518</v>
      </c>
      <c r="E17" t="s">
        <v>11</v>
      </c>
      <c r="F17" t="s">
        <v>1766</v>
      </c>
      <c r="G17" t="s">
        <v>1767</v>
      </c>
      <c r="H17">
        <v>424920</v>
      </c>
      <c r="I17">
        <v>105</v>
      </c>
      <c r="J17">
        <v>15.828125699999999</v>
      </c>
      <c r="K17">
        <v>78.0372792</v>
      </c>
      <c r="L17">
        <v>284.97488399999997</v>
      </c>
      <c r="M17">
        <f t="shared" si="0"/>
        <v>1444.7713332068279</v>
      </c>
      <c r="N17">
        <f t="shared" si="1"/>
        <v>-6.5690369139137228E-3</v>
      </c>
      <c r="O17">
        <f t="shared" si="2"/>
        <v>-6.1875758050640474E-5</v>
      </c>
    </row>
    <row r="18" spans="1:15" x14ac:dyDescent="0.2">
      <c r="A18">
        <v>17</v>
      </c>
      <c r="B18" t="s">
        <v>1780</v>
      </c>
      <c r="C18" t="s">
        <v>37</v>
      </c>
      <c r="D18">
        <v>8672</v>
      </c>
      <c r="E18" t="s">
        <v>11</v>
      </c>
      <c r="F18" t="s">
        <v>1766</v>
      </c>
      <c r="G18" t="s">
        <v>1767</v>
      </c>
      <c r="H18">
        <v>169892</v>
      </c>
      <c r="I18">
        <v>256</v>
      </c>
      <c r="J18">
        <v>16.190545700000001</v>
      </c>
      <c r="K18">
        <v>81.136154300000001</v>
      </c>
      <c r="L18">
        <v>10.91092873</v>
      </c>
      <c r="M18">
        <f t="shared" si="0"/>
        <v>1417.5080350519759</v>
      </c>
      <c r="N18">
        <f t="shared" si="1"/>
        <v>1.2638827339234862E-2</v>
      </c>
      <c r="O18">
        <f t="shared" si="2"/>
        <v>6.3266092585136647E-5</v>
      </c>
    </row>
    <row r="19" spans="1:15" x14ac:dyDescent="0.2">
      <c r="A19">
        <v>18</v>
      </c>
      <c r="B19" t="s">
        <v>1781</v>
      </c>
      <c r="C19" t="s">
        <v>17</v>
      </c>
      <c r="D19">
        <v>8571</v>
      </c>
      <c r="E19" t="s">
        <v>11</v>
      </c>
      <c r="F19" t="s">
        <v>1766</v>
      </c>
      <c r="G19" t="s">
        <v>1767</v>
      </c>
      <c r="H19">
        <v>135669</v>
      </c>
      <c r="I19">
        <v>335</v>
      </c>
      <c r="J19">
        <v>13.5603491</v>
      </c>
      <c r="K19">
        <v>78.503606500000004</v>
      </c>
      <c r="L19">
        <v>690.97387700000002</v>
      </c>
      <c r="M19">
        <f t="shared" si="0"/>
        <v>1694.2377450353006</v>
      </c>
      <c r="N19">
        <f t="shared" si="1"/>
        <v>-2.9565304908819826E-2</v>
      </c>
      <c r="O19">
        <f t="shared" si="2"/>
        <v>-5.3053720617106048E-5</v>
      </c>
    </row>
    <row r="20" spans="1:15" x14ac:dyDescent="0.2">
      <c r="A20">
        <v>19</v>
      </c>
      <c r="B20" t="s">
        <v>1782</v>
      </c>
      <c r="C20" t="s">
        <v>40</v>
      </c>
      <c r="D20">
        <v>8514</v>
      </c>
      <c r="E20" t="s">
        <v>11</v>
      </c>
      <c r="F20" t="s">
        <v>1766</v>
      </c>
      <c r="G20" t="s">
        <v>1767</v>
      </c>
      <c r="H20">
        <v>200746</v>
      </c>
      <c r="I20">
        <v>215</v>
      </c>
      <c r="J20">
        <v>15.4785694</v>
      </c>
      <c r="K20">
        <v>78.483093400000001</v>
      </c>
      <c r="L20">
        <v>211.9016724</v>
      </c>
      <c r="M20">
        <f t="shared" si="0"/>
        <v>1481.1309857779477</v>
      </c>
      <c r="N20">
        <f t="shared" si="1"/>
        <v>-1.4741674308117823E-3</v>
      </c>
      <c r="O20">
        <f t="shared" si="2"/>
        <v>-5.899391842188435E-5</v>
      </c>
    </row>
    <row r="21" spans="1:15" x14ac:dyDescent="0.2">
      <c r="A21">
        <v>20</v>
      </c>
      <c r="B21" t="s">
        <v>1783</v>
      </c>
      <c r="C21" t="s">
        <v>25</v>
      </c>
      <c r="D21">
        <v>8647</v>
      </c>
      <c r="E21" t="s">
        <v>11</v>
      </c>
      <c r="F21" t="s">
        <v>1766</v>
      </c>
      <c r="G21" t="s">
        <v>1767</v>
      </c>
      <c r="H21">
        <v>116250</v>
      </c>
      <c r="I21">
        <v>390</v>
      </c>
      <c r="J21">
        <v>16.2353506</v>
      </c>
      <c r="K21">
        <v>80.047903899999994</v>
      </c>
      <c r="L21">
        <v>76.206756589999998</v>
      </c>
      <c r="M21">
        <f t="shared" si="0"/>
        <v>1399.8613091561738</v>
      </c>
      <c r="N21">
        <f t="shared" si="1"/>
        <v>8.1337032794080374E-3</v>
      </c>
      <c r="O21">
        <f t="shared" si="2"/>
        <v>6.3932621262534808E-5</v>
      </c>
    </row>
    <row r="22" spans="1:15" x14ac:dyDescent="0.2">
      <c r="A22">
        <v>21</v>
      </c>
      <c r="B22" t="s">
        <v>52</v>
      </c>
      <c r="C22" t="s">
        <v>52</v>
      </c>
      <c r="D22">
        <v>861</v>
      </c>
      <c r="E22" t="s">
        <v>11</v>
      </c>
      <c r="F22" t="s">
        <v>1766</v>
      </c>
      <c r="G22" t="s">
        <v>1767</v>
      </c>
      <c r="H22">
        <v>499575</v>
      </c>
      <c r="I22">
        <v>89</v>
      </c>
      <c r="J22">
        <v>14.4425987</v>
      </c>
      <c r="K22">
        <v>79.986456000000004</v>
      </c>
      <c r="L22">
        <v>19.119724269999999</v>
      </c>
      <c r="M22">
        <f t="shared" si="0"/>
        <v>1598.350503240845</v>
      </c>
      <c r="N22">
        <f t="shared" si="1"/>
        <v>1.0695250959247267E-2</v>
      </c>
      <c r="O22">
        <f t="shared" si="2"/>
        <v>5.609835758333072E-5</v>
      </c>
    </row>
    <row r="23" spans="1:15" x14ac:dyDescent="0.2">
      <c r="A23">
        <v>22</v>
      </c>
      <c r="B23" t="s">
        <v>1784</v>
      </c>
      <c r="C23" t="s">
        <v>58</v>
      </c>
      <c r="D23">
        <v>8592</v>
      </c>
      <c r="E23" t="s">
        <v>11</v>
      </c>
      <c r="F23" t="s">
        <v>1766</v>
      </c>
      <c r="G23" t="s">
        <v>1767</v>
      </c>
      <c r="H23">
        <v>202826</v>
      </c>
      <c r="I23">
        <v>212</v>
      </c>
      <c r="J23">
        <v>15.5057232</v>
      </c>
      <c r="K23">
        <v>80.049921999999995</v>
      </c>
      <c r="L23">
        <v>19.725616460000001</v>
      </c>
      <c r="M23">
        <f t="shared" si="0"/>
        <v>1480.8088381836419</v>
      </c>
      <c r="N23">
        <f t="shared" si="1"/>
        <v>1.1503287996912614E-2</v>
      </c>
      <c r="O23">
        <f t="shared" si="2"/>
        <v>6.0550452998873311E-5</v>
      </c>
    </row>
    <row r="24" spans="1:15" x14ac:dyDescent="0.2">
      <c r="A24">
        <v>23</v>
      </c>
      <c r="B24" t="s">
        <v>1785</v>
      </c>
      <c r="C24" t="s">
        <v>1778</v>
      </c>
      <c r="D24">
        <v>8564</v>
      </c>
      <c r="E24" t="s">
        <v>11</v>
      </c>
      <c r="F24" t="s">
        <v>1766</v>
      </c>
      <c r="G24" t="s">
        <v>1767</v>
      </c>
      <c r="H24">
        <v>162816</v>
      </c>
      <c r="I24">
        <v>270</v>
      </c>
      <c r="J24">
        <v>14.749186399999999</v>
      </c>
      <c r="K24">
        <v>78.5531577</v>
      </c>
      <c r="L24">
        <v>159.67237850000001</v>
      </c>
      <c r="M24">
        <f t="shared" si="0"/>
        <v>1561.9442342366956</v>
      </c>
      <c r="N24">
        <f t="shared" si="1"/>
        <v>1.9459685329197209E-3</v>
      </c>
      <c r="O24">
        <f t="shared" si="2"/>
        <v>5.641407332003876E-5</v>
      </c>
    </row>
    <row r="25" spans="1:15" x14ac:dyDescent="0.2">
      <c r="A25">
        <v>24</v>
      </c>
      <c r="B25" t="s">
        <v>1786</v>
      </c>
      <c r="C25" t="s">
        <v>1318</v>
      </c>
      <c r="D25">
        <v>883</v>
      </c>
      <c r="E25" t="s">
        <v>11</v>
      </c>
      <c r="F25" t="s">
        <v>1766</v>
      </c>
      <c r="G25" t="s">
        <v>1767</v>
      </c>
      <c r="H25">
        <v>419818</v>
      </c>
      <c r="I25">
        <v>106</v>
      </c>
      <c r="J25">
        <v>17.000538299999999</v>
      </c>
      <c r="K25">
        <v>81.8040345</v>
      </c>
      <c r="L25">
        <v>36.389785770000003</v>
      </c>
      <c r="M25">
        <f t="shared" si="0"/>
        <v>1341.2412902287808</v>
      </c>
      <c r="N25">
        <f t="shared" si="1"/>
        <v>1.1457859010870939E-2</v>
      </c>
      <c r="O25">
        <f t="shared" si="2"/>
        <v>6.682404927385943E-5</v>
      </c>
    </row>
    <row r="26" spans="1:15" x14ac:dyDescent="0.2">
      <c r="A26">
        <v>25</v>
      </c>
      <c r="B26" t="s">
        <v>64</v>
      </c>
      <c r="C26" t="s">
        <v>64</v>
      </c>
      <c r="D26">
        <v>8942</v>
      </c>
      <c r="E26" t="s">
        <v>11</v>
      </c>
      <c r="F26" t="s">
        <v>1766</v>
      </c>
      <c r="G26" t="s">
        <v>1767</v>
      </c>
      <c r="H26">
        <v>125939</v>
      </c>
      <c r="I26">
        <v>362</v>
      </c>
      <c r="J26">
        <v>18.2969747</v>
      </c>
      <c r="K26">
        <v>83.896781300000001</v>
      </c>
      <c r="L26">
        <v>16.954698560000001</v>
      </c>
      <c r="M26">
        <f t="shared" si="0"/>
        <v>1267.5599065819279</v>
      </c>
      <c r="N26">
        <f t="shared" si="1"/>
        <v>1.3657155164114606E-2</v>
      </c>
      <c r="O26">
        <f t="shared" si="2"/>
        <v>7.074145308897547E-5</v>
      </c>
    </row>
    <row r="27" spans="1:15" x14ac:dyDescent="0.2">
      <c r="A27">
        <v>26</v>
      </c>
      <c r="B27" t="s">
        <v>1787</v>
      </c>
      <c r="C27" t="s">
        <v>1771</v>
      </c>
      <c r="D27">
        <v>8818</v>
      </c>
      <c r="E27" t="s">
        <v>11</v>
      </c>
      <c r="F27" t="s">
        <v>1766</v>
      </c>
      <c r="G27" t="s">
        <v>1767</v>
      </c>
      <c r="H27">
        <v>103906</v>
      </c>
      <c r="I27">
        <v>442</v>
      </c>
      <c r="J27">
        <v>16.813841499999999</v>
      </c>
      <c r="K27">
        <v>81.521241000000003</v>
      </c>
      <c r="L27">
        <v>17.931478500000001</v>
      </c>
      <c r="M27">
        <f t="shared" si="0"/>
        <v>1355.8378046133444</v>
      </c>
      <c r="N27">
        <f t="shared" si="1"/>
        <v>1.2695902320638525E-2</v>
      </c>
      <c r="O27">
        <f t="shared" si="2"/>
        <v>6.6134128524997598E-5</v>
      </c>
    </row>
    <row r="28" spans="1:15" x14ac:dyDescent="0.2">
      <c r="A28">
        <v>27</v>
      </c>
      <c r="B28" t="s">
        <v>1788</v>
      </c>
      <c r="C28" t="s">
        <v>15</v>
      </c>
      <c r="D28">
        <v>8558</v>
      </c>
      <c r="E28" t="s">
        <v>11</v>
      </c>
      <c r="F28" t="s">
        <v>1766</v>
      </c>
      <c r="G28" t="s">
        <v>1767</v>
      </c>
      <c r="H28">
        <v>108171</v>
      </c>
      <c r="I28">
        <v>422</v>
      </c>
      <c r="J28">
        <v>14.9070274</v>
      </c>
      <c r="K28">
        <v>78.009270299999997</v>
      </c>
      <c r="L28">
        <v>239.9841156</v>
      </c>
      <c r="M28">
        <f t="shared" si="0"/>
        <v>1547.168145343805</v>
      </c>
      <c r="N28">
        <f t="shared" si="1"/>
        <v>-3.2263328294487156E-3</v>
      </c>
      <c r="O28">
        <f t="shared" si="2"/>
        <v>-5.7429005418657055E-5</v>
      </c>
    </row>
    <row r="29" spans="1:15" x14ac:dyDescent="0.2">
      <c r="A29">
        <v>28</v>
      </c>
      <c r="B29" t="s">
        <v>1789</v>
      </c>
      <c r="C29" t="s">
        <v>25</v>
      </c>
      <c r="D29">
        <v>8644</v>
      </c>
      <c r="E29" t="s">
        <v>11</v>
      </c>
      <c r="F29" t="s">
        <v>1766</v>
      </c>
      <c r="G29" t="s">
        <v>1767</v>
      </c>
      <c r="H29">
        <v>164937</v>
      </c>
      <c r="I29">
        <v>265</v>
      </c>
      <c r="J29">
        <v>16.239531299999999</v>
      </c>
      <c r="K29">
        <v>80.649339600000005</v>
      </c>
      <c r="L29">
        <v>17</v>
      </c>
      <c r="M29">
        <f t="shared" si="0"/>
        <v>1405.3510313964005</v>
      </c>
      <c r="N29">
        <f t="shared" si="1"/>
        <v>1.2314882042533882E-2</v>
      </c>
      <c r="O29">
        <f t="shared" si="2"/>
        <v>6.3805370355215899E-5</v>
      </c>
    </row>
    <row r="30" spans="1:15" x14ac:dyDescent="0.2">
      <c r="A30">
        <v>29</v>
      </c>
      <c r="B30" t="s">
        <v>1790</v>
      </c>
      <c r="C30" t="s">
        <v>17</v>
      </c>
      <c r="D30">
        <v>877</v>
      </c>
      <c r="E30" t="s">
        <v>11</v>
      </c>
      <c r="F30" t="s">
        <v>1766</v>
      </c>
      <c r="G30" t="s">
        <v>1767</v>
      </c>
      <c r="H30">
        <v>374260</v>
      </c>
      <c r="I30">
        <v>117</v>
      </c>
      <c r="J30">
        <v>13.628755699999999</v>
      </c>
      <c r="K30">
        <v>79.419179499999998</v>
      </c>
      <c r="L30">
        <v>153.62815860000001</v>
      </c>
      <c r="M30">
        <f t="shared" si="0"/>
        <v>1686.2671420755889</v>
      </c>
      <c r="N30">
        <f t="shared" si="1"/>
        <v>2.1609365616380234E-3</v>
      </c>
      <c r="O30">
        <f t="shared" si="2"/>
        <v>5.2440105244810736E-5</v>
      </c>
    </row>
    <row r="31" spans="1:15" x14ac:dyDescent="0.2">
      <c r="A31">
        <v>30</v>
      </c>
      <c r="B31" t="s">
        <v>1791</v>
      </c>
      <c r="C31" t="s">
        <v>37</v>
      </c>
      <c r="D31">
        <v>866</v>
      </c>
      <c r="E31" t="s">
        <v>11</v>
      </c>
      <c r="F31" t="s">
        <v>1766</v>
      </c>
      <c r="G31" t="s">
        <v>1767</v>
      </c>
      <c r="H31">
        <v>1048240</v>
      </c>
      <c r="I31">
        <v>42</v>
      </c>
      <c r="J31">
        <v>16.506174300000001</v>
      </c>
      <c r="K31">
        <v>80.648015299999997</v>
      </c>
      <c r="L31">
        <v>31.658849719999999</v>
      </c>
      <c r="M31">
        <f t="shared" si="0"/>
        <v>1375.8811118713438</v>
      </c>
      <c r="N31">
        <f t="shared" si="1"/>
        <v>1.1513238368724149E-2</v>
      </c>
      <c r="O31">
        <f t="shared" si="2"/>
        <v>6.5149748475268793E-5</v>
      </c>
    </row>
    <row r="32" spans="1:15" x14ac:dyDescent="0.2">
      <c r="A32">
        <v>31</v>
      </c>
      <c r="B32" t="s">
        <v>1792</v>
      </c>
      <c r="C32" t="s">
        <v>1792</v>
      </c>
      <c r="D32">
        <v>891</v>
      </c>
      <c r="E32" t="s">
        <v>11</v>
      </c>
      <c r="F32" t="s">
        <v>1766</v>
      </c>
      <c r="G32" t="s">
        <v>1767</v>
      </c>
      <c r="H32">
        <v>2035922</v>
      </c>
      <c r="I32">
        <v>18</v>
      </c>
      <c r="J32">
        <v>17.686815899999999</v>
      </c>
      <c r="K32">
        <v>83.218481499999996</v>
      </c>
      <c r="L32">
        <v>54.026496889999997</v>
      </c>
      <c r="M32">
        <f t="shared" si="0"/>
        <v>1306.4340883651887</v>
      </c>
      <c r="N32">
        <f t="shared" si="1"/>
        <v>1.0413141093113636E-2</v>
      </c>
      <c r="O32">
        <f t="shared" si="2"/>
        <v>6.8567440419482347E-5</v>
      </c>
    </row>
    <row r="33" spans="1:15" x14ac:dyDescent="0.2">
      <c r="A33">
        <v>32</v>
      </c>
      <c r="B33" t="s">
        <v>69</v>
      </c>
      <c r="C33" t="s">
        <v>69</v>
      </c>
      <c r="D33">
        <v>8922</v>
      </c>
      <c r="E33" t="s">
        <v>11</v>
      </c>
      <c r="F33" t="s">
        <v>1766</v>
      </c>
      <c r="G33" t="s">
        <v>1767</v>
      </c>
      <c r="H33">
        <v>228025</v>
      </c>
      <c r="I33">
        <v>194</v>
      </c>
      <c r="J33">
        <v>18.106657599999998</v>
      </c>
      <c r="K33">
        <v>83.395550600000007</v>
      </c>
      <c r="L33">
        <v>66.533981319999995</v>
      </c>
      <c r="M33">
        <f t="shared" si="0"/>
        <v>1268.4133612406065</v>
      </c>
      <c r="N33">
        <f t="shared" si="1"/>
        <v>9.7392020815024235E-3</v>
      </c>
      <c r="O33">
        <f t="shared" si="2"/>
        <v>7.0589134930619152E-5</v>
      </c>
    </row>
    <row r="34" spans="1:15" x14ac:dyDescent="0.2">
      <c r="A34">
        <v>33</v>
      </c>
      <c r="B34" t="s">
        <v>1793</v>
      </c>
      <c r="C34" t="s">
        <v>100</v>
      </c>
      <c r="D34">
        <v>360</v>
      </c>
      <c r="E34" t="s">
        <v>78</v>
      </c>
      <c r="F34" t="s">
        <v>1794</v>
      </c>
      <c r="G34" t="s">
        <v>1795</v>
      </c>
      <c r="H34">
        <v>34970</v>
      </c>
      <c r="I34">
        <v>526</v>
      </c>
      <c r="J34">
        <v>27.081581</v>
      </c>
      <c r="K34">
        <v>93.602699999999999</v>
      </c>
      <c r="L34">
        <v>260.41702270000002</v>
      </c>
      <c r="M34">
        <f t="shared" si="0"/>
        <v>1443.6825384185031</v>
      </c>
      <c r="N34">
        <f t="shared" si="1"/>
        <v>-4.8729342516717926E-3</v>
      </c>
      <c r="O34">
        <f t="shared" si="2"/>
        <v>-6.177647098368944E-5</v>
      </c>
    </row>
    <row r="35" spans="1:15" x14ac:dyDescent="0.2">
      <c r="A35">
        <v>34</v>
      </c>
      <c r="B35" t="s">
        <v>127</v>
      </c>
      <c r="C35" t="s">
        <v>127</v>
      </c>
      <c r="D35">
        <v>3664</v>
      </c>
      <c r="E35" t="s">
        <v>123</v>
      </c>
      <c r="F35" t="s">
        <v>1796</v>
      </c>
      <c r="G35" t="s">
        <v>1797</v>
      </c>
      <c r="H35">
        <v>174973</v>
      </c>
      <c r="I35">
        <v>247</v>
      </c>
      <c r="J35">
        <v>26.500999199999999</v>
      </c>
      <c r="K35">
        <v>90.535235599999993</v>
      </c>
      <c r="L35">
        <v>61.444549559999999</v>
      </c>
      <c r="M35">
        <f t="shared" si="0"/>
        <v>1161.4369071342537</v>
      </c>
      <c r="N35">
        <f t="shared" si="1"/>
        <v>1.1074451952570175E-2</v>
      </c>
      <c r="O35">
        <f t="shared" si="2"/>
        <v>7.7106687821280268E-5</v>
      </c>
    </row>
    <row r="36" spans="1:15" x14ac:dyDescent="0.2">
      <c r="A36">
        <v>35</v>
      </c>
      <c r="B36" t="s">
        <v>1798</v>
      </c>
      <c r="C36" t="s">
        <v>1798</v>
      </c>
      <c r="D36">
        <v>3662</v>
      </c>
      <c r="E36" t="s">
        <v>123</v>
      </c>
      <c r="F36" t="s">
        <v>1796</v>
      </c>
      <c r="G36" t="s">
        <v>1797</v>
      </c>
      <c r="H36">
        <v>109234</v>
      </c>
      <c r="I36">
        <v>419</v>
      </c>
      <c r="J36">
        <v>26.020698199999998</v>
      </c>
      <c r="K36">
        <v>89.974346299999993</v>
      </c>
      <c r="L36">
        <v>31.248212809999998</v>
      </c>
      <c r="M36">
        <f t="shared" si="0"/>
        <v>1123.3491609677794</v>
      </c>
      <c r="N36">
        <f t="shared" si="1"/>
        <v>1.4138000410591428E-2</v>
      </c>
      <c r="O36">
        <f t="shared" si="2"/>
        <v>7.9796421840059282E-5</v>
      </c>
    </row>
    <row r="37" spans="1:15" x14ac:dyDescent="0.2">
      <c r="A37">
        <v>36</v>
      </c>
      <c r="B37" t="s">
        <v>141</v>
      </c>
      <c r="C37" t="s">
        <v>141</v>
      </c>
      <c r="D37">
        <v>373</v>
      </c>
      <c r="E37" t="s">
        <v>123</v>
      </c>
      <c r="F37" t="s">
        <v>1796</v>
      </c>
      <c r="G37" t="s">
        <v>1797</v>
      </c>
      <c r="H37">
        <v>154019</v>
      </c>
      <c r="I37">
        <v>288</v>
      </c>
      <c r="J37">
        <v>27.472832700000001</v>
      </c>
      <c r="K37">
        <v>94.911962099999997</v>
      </c>
      <c r="L37">
        <v>109.443573</v>
      </c>
      <c r="M37">
        <f t="shared" si="0"/>
        <v>1563.562074664638</v>
      </c>
      <c r="N37">
        <f t="shared" si="1"/>
        <v>5.1564149646756213E-3</v>
      </c>
      <c r="O37">
        <f t="shared" si="2"/>
        <v>5.7106386455968082E-5</v>
      </c>
    </row>
    <row r="38" spans="1:15" x14ac:dyDescent="0.2">
      <c r="A38">
        <v>37</v>
      </c>
      <c r="B38" t="s">
        <v>1799</v>
      </c>
      <c r="C38" t="s">
        <v>155</v>
      </c>
      <c r="D38">
        <v>361</v>
      </c>
      <c r="E38" t="s">
        <v>123</v>
      </c>
      <c r="F38" t="s">
        <v>1796</v>
      </c>
      <c r="G38" t="s">
        <v>1797</v>
      </c>
      <c r="H38">
        <v>968549</v>
      </c>
      <c r="I38">
        <v>47</v>
      </c>
      <c r="J38">
        <v>26.144516899999999</v>
      </c>
      <c r="K38">
        <v>91.736236500000004</v>
      </c>
      <c r="L38">
        <v>49.71243286</v>
      </c>
      <c r="M38">
        <f t="shared" si="0"/>
        <v>1287.393691190174</v>
      </c>
      <c r="N38">
        <f t="shared" si="1"/>
        <v>1.0902250795577864E-2</v>
      </c>
      <c r="O38">
        <f t="shared" si="2"/>
        <v>6.9591599492659729E-5</v>
      </c>
    </row>
    <row r="39" spans="1:15" x14ac:dyDescent="0.2">
      <c r="A39">
        <v>38</v>
      </c>
      <c r="B39" t="s">
        <v>152</v>
      </c>
      <c r="C39" t="s">
        <v>152</v>
      </c>
      <c r="D39">
        <v>376</v>
      </c>
      <c r="E39" t="s">
        <v>123</v>
      </c>
      <c r="F39" t="s">
        <v>1796</v>
      </c>
      <c r="G39" t="s">
        <v>1797</v>
      </c>
      <c r="H39">
        <v>153249</v>
      </c>
      <c r="I39">
        <v>291</v>
      </c>
      <c r="J39">
        <v>26.7465203</v>
      </c>
      <c r="K39">
        <v>94.202585900000003</v>
      </c>
      <c r="L39">
        <v>93</v>
      </c>
      <c r="M39">
        <f t="shared" si="0"/>
        <v>1509.4178480535684</v>
      </c>
      <c r="N39">
        <f t="shared" si="1"/>
        <v>6.4307787220861815E-3</v>
      </c>
      <c r="O39">
        <f t="shared" si="2"/>
        <v>5.9234593341125563E-5</v>
      </c>
    </row>
    <row r="40" spans="1:15" x14ac:dyDescent="0.2">
      <c r="A40">
        <v>39</v>
      </c>
      <c r="B40" t="s">
        <v>172</v>
      </c>
      <c r="C40" t="s">
        <v>172</v>
      </c>
      <c r="D40">
        <v>3672</v>
      </c>
      <c r="E40" t="s">
        <v>123</v>
      </c>
      <c r="F40" t="s">
        <v>1796</v>
      </c>
      <c r="G40" t="s">
        <v>1797</v>
      </c>
      <c r="H40">
        <v>147137</v>
      </c>
      <c r="I40">
        <v>303</v>
      </c>
      <c r="J40">
        <v>26.346371300000001</v>
      </c>
      <c r="K40">
        <v>92.684042599999998</v>
      </c>
      <c r="L40">
        <v>70.473220830000002</v>
      </c>
      <c r="M40">
        <f t="shared" si="0"/>
        <v>1372.6551366088243</v>
      </c>
      <c r="N40">
        <f t="shared" si="1"/>
        <v>8.7126108940560228E-3</v>
      </c>
      <c r="O40">
        <f t="shared" si="2"/>
        <v>6.5217346619560957E-5</v>
      </c>
    </row>
    <row r="41" spans="1:15" x14ac:dyDescent="0.2">
      <c r="A41">
        <v>40</v>
      </c>
      <c r="B41" t="s">
        <v>1800</v>
      </c>
      <c r="C41" t="s">
        <v>129</v>
      </c>
      <c r="D41">
        <v>3842</v>
      </c>
      <c r="E41" t="s">
        <v>123</v>
      </c>
      <c r="F41" t="s">
        <v>1796</v>
      </c>
      <c r="G41" t="s">
        <v>1797</v>
      </c>
      <c r="H41">
        <v>228985</v>
      </c>
      <c r="I41">
        <v>193</v>
      </c>
      <c r="J41">
        <v>24.833270800000001</v>
      </c>
      <c r="K41">
        <v>92.778905399999999</v>
      </c>
      <c r="L41">
        <v>24</v>
      </c>
      <c r="M41">
        <f t="shared" si="0"/>
        <v>1432.9959288024047</v>
      </c>
      <c r="N41">
        <f t="shared" si="1"/>
        <v>1.1588820209614076E-2</v>
      </c>
      <c r="O41">
        <f t="shared" si="2"/>
        <v>6.2564719823532682E-5</v>
      </c>
    </row>
    <row r="42" spans="1:15" x14ac:dyDescent="0.2">
      <c r="A42">
        <v>41</v>
      </c>
      <c r="B42" t="s">
        <v>1801</v>
      </c>
      <c r="C42" t="s">
        <v>183</v>
      </c>
      <c r="D42">
        <v>3712</v>
      </c>
      <c r="E42" t="s">
        <v>123</v>
      </c>
      <c r="F42" t="s">
        <v>1796</v>
      </c>
      <c r="G42" t="s">
        <v>1797</v>
      </c>
      <c r="H42">
        <v>100477</v>
      </c>
      <c r="I42">
        <v>461</v>
      </c>
      <c r="J42">
        <v>26.652849499999999</v>
      </c>
      <c r="K42">
        <v>92.792559199999999</v>
      </c>
      <c r="L42">
        <v>80.892768860000004</v>
      </c>
      <c r="M42">
        <f t="shared" si="0"/>
        <v>1375.0020386752253</v>
      </c>
      <c r="N42">
        <f t="shared" si="1"/>
        <v>7.9399557141883598E-3</v>
      </c>
      <c r="O42">
        <f t="shared" si="2"/>
        <v>6.5072780430039634E-5</v>
      </c>
    </row>
    <row r="43" spans="1:15" x14ac:dyDescent="0.2">
      <c r="A43">
        <v>42</v>
      </c>
      <c r="B43" t="s">
        <v>186</v>
      </c>
      <c r="C43" t="s">
        <v>186</v>
      </c>
      <c r="D43">
        <v>374</v>
      </c>
      <c r="E43" t="s">
        <v>123</v>
      </c>
      <c r="F43" t="s">
        <v>1796</v>
      </c>
      <c r="G43" t="s">
        <v>1797</v>
      </c>
      <c r="H43">
        <v>125637</v>
      </c>
      <c r="I43">
        <v>363</v>
      </c>
      <c r="J43">
        <v>27.492190900000001</v>
      </c>
      <c r="K43">
        <v>95.346774999999994</v>
      </c>
      <c r="L43">
        <v>124.8054733</v>
      </c>
      <c r="M43">
        <f t="shared" si="0"/>
        <v>1605.5839155437716</v>
      </c>
      <c r="N43">
        <f t="shared" si="1"/>
        <v>4.064680012560877E-3</v>
      </c>
      <c r="O43">
        <f t="shared" si="2"/>
        <v>5.5507613785562485E-5</v>
      </c>
    </row>
    <row r="44" spans="1:15" x14ac:dyDescent="0.2">
      <c r="A44">
        <v>43</v>
      </c>
      <c r="B44" t="s">
        <v>1802</v>
      </c>
      <c r="C44" t="s">
        <v>207</v>
      </c>
      <c r="D44">
        <v>6182</v>
      </c>
      <c r="E44" t="s">
        <v>189</v>
      </c>
      <c r="F44" t="s">
        <v>1803</v>
      </c>
      <c r="G44" t="s">
        <v>1804</v>
      </c>
      <c r="H44">
        <v>261099</v>
      </c>
      <c r="I44">
        <v>173</v>
      </c>
      <c r="J44">
        <v>25.5560443</v>
      </c>
      <c r="K44">
        <v>84.660330700000003</v>
      </c>
      <c r="L44">
        <v>65.228134159999996</v>
      </c>
      <c r="M44">
        <f t="shared" si="0"/>
        <v>663.19396595498858</v>
      </c>
      <c r="N44">
        <f t="shared" si="1"/>
        <v>1.8823932974153888E-2</v>
      </c>
      <c r="O44">
        <f t="shared" si="2"/>
        <v>1.350148790989642E-4</v>
      </c>
    </row>
    <row r="45" spans="1:15" x14ac:dyDescent="0.2">
      <c r="A45">
        <v>44</v>
      </c>
      <c r="B45" t="s">
        <v>193</v>
      </c>
      <c r="C45" t="s">
        <v>193</v>
      </c>
      <c r="D45">
        <v>6186</v>
      </c>
      <c r="E45" t="s">
        <v>189</v>
      </c>
      <c r="F45" t="s">
        <v>1803</v>
      </c>
      <c r="G45" t="s">
        <v>1804</v>
      </c>
      <c r="H45">
        <v>101520</v>
      </c>
      <c r="I45">
        <v>456</v>
      </c>
      <c r="J45">
        <v>24.7457189</v>
      </c>
      <c r="K45">
        <v>84.380488799999995</v>
      </c>
      <c r="L45">
        <v>115.0035934</v>
      </c>
      <c r="M45">
        <f t="shared" si="0"/>
        <v>696.14232690264237</v>
      </c>
      <c r="N45">
        <f t="shared" si="1"/>
        <v>1.0782813441898052E-2</v>
      </c>
      <c r="O45">
        <f t="shared" si="2"/>
        <v>1.2818750786491105E-4</v>
      </c>
    </row>
    <row r="46" spans="1:15" x14ac:dyDescent="0.2">
      <c r="A46">
        <v>45</v>
      </c>
      <c r="B46" t="s">
        <v>1805</v>
      </c>
      <c r="C46" t="s">
        <v>1806</v>
      </c>
      <c r="D46">
        <v>6251</v>
      </c>
      <c r="E46" t="s">
        <v>189</v>
      </c>
      <c r="F46" t="s">
        <v>1803</v>
      </c>
      <c r="G46" t="s">
        <v>1804</v>
      </c>
      <c r="H46">
        <v>113012</v>
      </c>
      <c r="I46">
        <v>405</v>
      </c>
      <c r="J46">
        <v>27.128634999999999</v>
      </c>
      <c r="K46">
        <v>84.062202999999997</v>
      </c>
      <c r="L46">
        <v>94</v>
      </c>
      <c r="M46">
        <f t="shared" si="0"/>
        <v>528.01693170211763</v>
      </c>
      <c r="N46">
        <f t="shared" si="1"/>
        <v>1.8193985084970089E-2</v>
      </c>
      <c r="O46">
        <f t="shared" si="2"/>
        <v>1.6931958689444959E-4</v>
      </c>
    </row>
    <row r="47" spans="1:15" x14ac:dyDescent="0.2">
      <c r="A47">
        <v>46</v>
      </c>
      <c r="B47" t="s">
        <v>198</v>
      </c>
      <c r="C47" t="s">
        <v>198</v>
      </c>
      <c r="D47">
        <v>6243</v>
      </c>
      <c r="E47" t="s">
        <v>189</v>
      </c>
      <c r="F47" t="s">
        <v>1803</v>
      </c>
      <c r="G47" t="s">
        <v>1804</v>
      </c>
      <c r="H47">
        <v>251136</v>
      </c>
      <c r="I47">
        <v>178</v>
      </c>
      <c r="J47">
        <v>25.416675000000001</v>
      </c>
      <c r="K47">
        <v>86.129379200000002</v>
      </c>
      <c r="L47">
        <v>48.284130099999999</v>
      </c>
      <c r="M47">
        <f t="shared" si="0"/>
        <v>796.73246765095098</v>
      </c>
      <c r="N47">
        <f t="shared" si="1"/>
        <v>1.7795583518521216E-2</v>
      </c>
      <c r="O47">
        <f t="shared" si="2"/>
        <v>1.1245418246773461E-4</v>
      </c>
    </row>
    <row r="48" spans="1:15" x14ac:dyDescent="0.2">
      <c r="A48">
        <v>47</v>
      </c>
      <c r="B48" t="s">
        <v>1807</v>
      </c>
      <c r="C48" t="s">
        <v>1806</v>
      </c>
      <c r="D48">
        <v>6254</v>
      </c>
      <c r="E48" t="s">
        <v>189</v>
      </c>
      <c r="F48" t="s">
        <v>1803</v>
      </c>
      <c r="G48" t="s">
        <v>1804</v>
      </c>
      <c r="H48">
        <v>156200</v>
      </c>
      <c r="I48">
        <v>278</v>
      </c>
      <c r="J48">
        <v>26.802804800000001</v>
      </c>
      <c r="K48">
        <v>84.516975700000003</v>
      </c>
      <c r="L48">
        <v>77.722877499999996</v>
      </c>
      <c r="M48">
        <f t="shared" si="0"/>
        <v>583.54721139867445</v>
      </c>
      <c r="N48">
        <f t="shared" si="1"/>
        <v>1.9251988888907098E-2</v>
      </c>
      <c r="O48">
        <f t="shared" si="2"/>
        <v>1.5335522253476271E-4</v>
      </c>
    </row>
    <row r="49" spans="1:15" x14ac:dyDescent="0.2">
      <c r="A49">
        <v>48</v>
      </c>
      <c r="B49" t="s">
        <v>204</v>
      </c>
      <c r="C49" t="s">
        <v>204</v>
      </c>
      <c r="D49">
        <v>641</v>
      </c>
      <c r="E49" t="s">
        <v>189</v>
      </c>
      <c r="F49" t="s">
        <v>1803</v>
      </c>
      <c r="G49" t="s">
        <v>1804</v>
      </c>
      <c r="H49">
        <v>410210</v>
      </c>
      <c r="I49">
        <v>109</v>
      </c>
      <c r="J49">
        <v>25.241430300000001</v>
      </c>
      <c r="K49">
        <v>86.992435799999996</v>
      </c>
      <c r="L49">
        <v>44.165660860000003</v>
      </c>
      <c r="M49">
        <f t="shared" si="0"/>
        <v>882.05777201204796</v>
      </c>
      <c r="N49">
        <f t="shared" si="1"/>
        <v>1.6541054970490885E-2</v>
      </c>
      <c r="O49">
        <f t="shared" si="2"/>
        <v>1.0158892947865996E-4</v>
      </c>
    </row>
    <row r="50" spans="1:15" x14ac:dyDescent="0.2">
      <c r="A50">
        <v>49</v>
      </c>
      <c r="B50" t="s">
        <v>1808</v>
      </c>
      <c r="C50" t="s">
        <v>249</v>
      </c>
      <c r="D50">
        <v>6112</v>
      </c>
      <c r="E50" t="s">
        <v>189</v>
      </c>
      <c r="F50" t="s">
        <v>1803</v>
      </c>
      <c r="G50" t="s">
        <v>1804</v>
      </c>
      <c r="H50">
        <v>296889</v>
      </c>
      <c r="I50">
        <v>153</v>
      </c>
      <c r="J50">
        <v>25.198214700000001</v>
      </c>
      <c r="K50">
        <v>85.514873499999993</v>
      </c>
      <c r="L50">
        <v>58.440032960000003</v>
      </c>
      <c r="M50">
        <f t="shared" si="0"/>
        <v>756.70427329164693</v>
      </c>
      <c r="N50">
        <f t="shared" si="1"/>
        <v>1.7394812410325661E-2</v>
      </c>
      <c r="O50">
        <f t="shared" si="2"/>
        <v>1.1836158924160919E-4</v>
      </c>
    </row>
    <row r="51" spans="1:15" x14ac:dyDescent="0.2">
      <c r="A51">
        <v>50</v>
      </c>
      <c r="B51" t="s">
        <v>210</v>
      </c>
      <c r="C51" t="s">
        <v>210</v>
      </c>
      <c r="D51">
        <v>6183</v>
      </c>
      <c r="E51" t="s">
        <v>189</v>
      </c>
      <c r="F51" t="s">
        <v>1803</v>
      </c>
      <c r="G51" t="s">
        <v>1804</v>
      </c>
      <c r="H51">
        <v>110608</v>
      </c>
      <c r="I51">
        <v>414</v>
      </c>
      <c r="J51">
        <v>25.564710300000002</v>
      </c>
      <c r="K51">
        <v>83.977748199999994</v>
      </c>
      <c r="L51">
        <v>67.231994630000003</v>
      </c>
      <c r="M51">
        <f t="shared" si="0"/>
        <v>606.99798898391623</v>
      </c>
      <c r="N51">
        <f t="shared" si="1"/>
        <v>2.0236529510685875E-2</v>
      </c>
      <c r="O51">
        <f t="shared" si="2"/>
        <v>1.4750224565293729E-4</v>
      </c>
    </row>
    <row r="52" spans="1:15" x14ac:dyDescent="0.2">
      <c r="A52">
        <v>51</v>
      </c>
      <c r="B52" t="s">
        <v>1809</v>
      </c>
      <c r="C52" t="s">
        <v>274</v>
      </c>
      <c r="D52">
        <v>6152</v>
      </c>
      <c r="E52" t="s">
        <v>189</v>
      </c>
      <c r="F52" t="s">
        <v>1803</v>
      </c>
      <c r="G52" t="s">
        <v>1804</v>
      </c>
      <c r="H52">
        <v>212955</v>
      </c>
      <c r="I52">
        <v>204</v>
      </c>
      <c r="J52">
        <v>25.7795649</v>
      </c>
      <c r="K52">
        <v>84.749888600000006</v>
      </c>
      <c r="L52">
        <v>60.206417080000001</v>
      </c>
      <c r="M52">
        <f t="shared" si="0"/>
        <v>657.18877057833026</v>
      </c>
      <c r="N52">
        <f t="shared" si="1"/>
        <v>1.9760061421274983E-2</v>
      </c>
      <c r="O52">
        <f t="shared" si="2"/>
        <v>1.3627560890753791E-4</v>
      </c>
    </row>
    <row r="53" spans="1:15" x14ac:dyDescent="0.2">
      <c r="A53">
        <v>52</v>
      </c>
      <c r="B53" t="s">
        <v>213</v>
      </c>
      <c r="C53" t="s">
        <v>213</v>
      </c>
      <c r="D53">
        <v>6272</v>
      </c>
      <c r="E53" t="s">
        <v>189</v>
      </c>
      <c r="F53" t="s">
        <v>1803</v>
      </c>
      <c r="G53" t="s">
        <v>1804</v>
      </c>
      <c r="H53">
        <v>306089</v>
      </c>
      <c r="I53">
        <v>146</v>
      </c>
      <c r="J53">
        <v>26.111868000000001</v>
      </c>
      <c r="K53">
        <v>85.896004000000005</v>
      </c>
      <c r="L53">
        <v>56.549320219999998</v>
      </c>
      <c r="M53">
        <f t="shared" si="0"/>
        <v>740.30784878990687</v>
      </c>
      <c r="N53">
        <f t="shared" si="1"/>
        <v>1.803547021664649E-2</v>
      </c>
      <c r="O53">
        <f t="shared" si="2"/>
        <v>1.209914013007664E-4</v>
      </c>
    </row>
    <row r="54" spans="1:15" x14ac:dyDescent="0.2">
      <c r="A54">
        <v>53</v>
      </c>
      <c r="B54" t="s">
        <v>1810</v>
      </c>
      <c r="C54" t="s">
        <v>266</v>
      </c>
      <c r="D54">
        <v>6184</v>
      </c>
      <c r="E54" t="s">
        <v>189</v>
      </c>
      <c r="F54" t="s">
        <v>1803</v>
      </c>
      <c r="G54" t="s">
        <v>1804</v>
      </c>
      <c r="H54">
        <v>137068</v>
      </c>
      <c r="I54">
        <v>332</v>
      </c>
      <c r="J54">
        <v>24.9277351</v>
      </c>
      <c r="K54">
        <v>84.190984099999994</v>
      </c>
      <c r="L54">
        <v>107.98994449999999</v>
      </c>
      <c r="M54">
        <f t="shared" si="0"/>
        <v>668.42010981598412</v>
      </c>
      <c r="N54">
        <f t="shared" si="1"/>
        <v>1.2279309987037326E-2</v>
      </c>
      <c r="O54">
        <f t="shared" si="2"/>
        <v>1.3360155226442393E-4</v>
      </c>
    </row>
    <row r="55" spans="1:15" x14ac:dyDescent="0.2">
      <c r="A55">
        <v>54</v>
      </c>
      <c r="B55" t="s">
        <v>216</v>
      </c>
      <c r="C55" t="s">
        <v>216</v>
      </c>
      <c r="D55">
        <v>631</v>
      </c>
      <c r="E55" t="s">
        <v>189</v>
      </c>
      <c r="F55" t="s">
        <v>1803</v>
      </c>
      <c r="G55" t="s">
        <v>1804</v>
      </c>
      <c r="H55">
        <v>470839</v>
      </c>
      <c r="I55">
        <v>97</v>
      </c>
      <c r="J55">
        <v>24.795452300000001</v>
      </c>
      <c r="K55">
        <v>84.999431000000001</v>
      </c>
      <c r="L55">
        <v>116.20759580000001</v>
      </c>
      <c r="M55">
        <f t="shared" si="0"/>
        <v>740.65476701157888</v>
      </c>
      <c r="N55">
        <f t="shared" si="1"/>
        <v>9.972220431120957E-3</v>
      </c>
      <c r="O55">
        <f t="shared" si="2"/>
        <v>1.2046679990967712E-4</v>
      </c>
    </row>
    <row r="56" spans="1:15" x14ac:dyDescent="0.2">
      <c r="A56">
        <v>55</v>
      </c>
      <c r="B56" t="s">
        <v>1811</v>
      </c>
      <c r="C56" t="s">
        <v>291</v>
      </c>
      <c r="D56">
        <v>6224</v>
      </c>
      <c r="E56" t="s">
        <v>189</v>
      </c>
      <c r="F56" t="s">
        <v>1803</v>
      </c>
      <c r="G56" t="s">
        <v>1804</v>
      </c>
      <c r="H56">
        <v>147688</v>
      </c>
      <c r="I56">
        <v>299</v>
      </c>
      <c r="J56">
        <v>25.692561999999999</v>
      </c>
      <c r="K56">
        <v>85.208369000000005</v>
      </c>
      <c r="L56">
        <v>55.337100980000002</v>
      </c>
      <c r="M56">
        <f t="shared" si="0"/>
        <v>701.44687328221119</v>
      </c>
      <c r="N56">
        <f t="shared" si="1"/>
        <v>1.9207473288685453E-2</v>
      </c>
      <c r="O56">
        <f t="shared" si="2"/>
        <v>1.2769997017422194E-4</v>
      </c>
    </row>
    <row r="57" spans="1:15" x14ac:dyDescent="0.2">
      <c r="A57">
        <v>56</v>
      </c>
      <c r="B57" t="s">
        <v>1812</v>
      </c>
      <c r="C57" t="s">
        <v>243</v>
      </c>
      <c r="D57">
        <v>6344</v>
      </c>
      <c r="E57" t="s">
        <v>189</v>
      </c>
      <c r="F57" t="s">
        <v>1803</v>
      </c>
      <c r="G57" t="s">
        <v>1804</v>
      </c>
      <c r="H57">
        <v>105221</v>
      </c>
      <c r="I57">
        <v>438</v>
      </c>
      <c r="J57">
        <v>25.312716999999999</v>
      </c>
      <c r="K57">
        <v>86.4906091</v>
      </c>
      <c r="L57">
        <v>53</v>
      </c>
      <c r="M57">
        <f t="shared" si="0"/>
        <v>834.01962425292152</v>
      </c>
      <c r="N57">
        <f t="shared" si="1"/>
        <v>1.6434543962053523E-2</v>
      </c>
      <c r="O57">
        <f t="shared" si="2"/>
        <v>1.0740993719288599E-4</v>
      </c>
    </row>
    <row r="58" spans="1:15" x14ac:dyDescent="0.2">
      <c r="A58">
        <v>57</v>
      </c>
      <c r="B58" t="s">
        <v>224</v>
      </c>
      <c r="C58" t="s">
        <v>224</v>
      </c>
      <c r="D58">
        <v>6114</v>
      </c>
      <c r="E58" t="s">
        <v>189</v>
      </c>
      <c r="F58" t="s">
        <v>1803</v>
      </c>
      <c r="G58" t="s">
        <v>1804</v>
      </c>
      <c r="H58">
        <v>102456</v>
      </c>
      <c r="I58">
        <v>449</v>
      </c>
      <c r="J58">
        <v>25.2139287</v>
      </c>
      <c r="K58">
        <v>84.989554900000002</v>
      </c>
      <c r="L58">
        <v>70.553710940000002</v>
      </c>
      <c r="M58">
        <f t="shared" si="0"/>
        <v>712.03695571214917</v>
      </c>
      <c r="N58">
        <f t="shared" si="1"/>
        <v>1.6784748305720673E-2</v>
      </c>
      <c r="O58">
        <f t="shared" si="2"/>
        <v>1.2572465864732133E-4</v>
      </c>
    </row>
    <row r="59" spans="1:15" x14ac:dyDescent="0.2">
      <c r="A59">
        <v>58</v>
      </c>
      <c r="B59" t="s">
        <v>226</v>
      </c>
      <c r="C59" t="s">
        <v>226</v>
      </c>
      <c r="D59">
        <v>6452</v>
      </c>
      <c r="E59" t="s">
        <v>189</v>
      </c>
      <c r="F59" t="s">
        <v>1803</v>
      </c>
      <c r="G59" t="s">
        <v>1804</v>
      </c>
      <c r="H59">
        <v>240565</v>
      </c>
      <c r="I59">
        <v>184</v>
      </c>
      <c r="J59">
        <v>25.542424</v>
      </c>
      <c r="K59">
        <v>87.567953000000003</v>
      </c>
      <c r="L59">
        <v>33.500041959999997</v>
      </c>
      <c r="M59">
        <f t="shared" si="0"/>
        <v>918.69807458300988</v>
      </c>
      <c r="N59">
        <f t="shared" si="1"/>
        <v>1.7042299768731384E-2</v>
      </c>
      <c r="O59">
        <f t="shared" si="2"/>
        <v>9.7566390484096616E-5</v>
      </c>
    </row>
    <row r="60" spans="1:15" x14ac:dyDescent="0.2">
      <c r="A60">
        <v>59</v>
      </c>
      <c r="B60" t="s">
        <v>232</v>
      </c>
      <c r="C60" t="s">
        <v>232</v>
      </c>
      <c r="D60">
        <v>6456</v>
      </c>
      <c r="E60" t="s">
        <v>189</v>
      </c>
      <c r="F60" t="s">
        <v>1803</v>
      </c>
      <c r="G60" t="s">
        <v>1804</v>
      </c>
      <c r="H60">
        <v>107076</v>
      </c>
      <c r="I60">
        <v>427</v>
      </c>
      <c r="J60">
        <v>26.091742199999999</v>
      </c>
      <c r="K60">
        <v>87.938382200000007</v>
      </c>
      <c r="L60">
        <v>52.080677029999997</v>
      </c>
      <c r="M60">
        <f t="shared" si="0"/>
        <v>929.03551286803111</v>
      </c>
      <c r="N60">
        <f t="shared" si="1"/>
        <v>1.485267708916967E-2</v>
      </c>
      <c r="O60">
        <f t="shared" si="2"/>
        <v>9.6427724275009586E-5</v>
      </c>
    </row>
    <row r="61" spans="1:15" x14ac:dyDescent="0.2">
      <c r="A61">
        <v>60</v>
      </c>
      <c r="B61" t="s">
        <v>235</v>
      </c>
      <c r="C61" t="s">
        <v>235</v>
      </c>
      <c r="D61">
        <v>6346</v>
      </c>
      <c r="E61" t="s">
        <v>189</v>
      </c>
      <c r="F61" t="s">
        <v>1803</v>
      </c>
      <c r="G61" t="s">
        <v>1804</v>
      </c>
      <c r="H61">
        <v>99931</v>
      </c>
      <c r="I61">
        <v>467</v>
      </c>
      <c r="J61">
        <v>25.167361400000001</v>
      </c>
      <c r="K61">
        <v>86.098825300000001</v>
      </c>
      <c r="L61">
        <v>44.626594539999999</v>
      </c>
      <c r="M61">
        <f t="shared" si="0"/>
        <v>808.18121752769355</v>
      </c>
      <c r="N61">
        <f t="shared" si="1"/>
        <v>1.7996053868328889E-2</v>
      </c>
      <c r="O61">
        <f t="shared" si="2"/>
        <v>1.1087372281772247E-4</v>
      </c>
    </row>
    <row r="62" spans="1:15" x14ac:dyDescent="0.2">
      <c r="A62">
        <v>61</v>
      </c>
      <c r="B62" t="s">
        <v>1813</v>
      </c>
      <c r="C62" t="s">
        <v>1814</v>
      </c>
      <c r="D62">
        <v>6252</v>
      </c>
      <c r="E62" t="s">
        <v>189</v>
      </c>
      <c r="F62" t="s">
        <v>1803</v>
      </c>
      <c r="G62" t="s">
        <v>1804</v>
      </c>
      <c r="H62">
        <v>125183</v>
      </c>
      <c r="I62">
        <v>366</v>
      </c>
      <c r="J62">
        <v>26.6469624</v>
      </c>
      <c r="K62">
        <v>84.908893800000001</v>
      </c>
      <c r="L62">
        <v>71.756423949999999</v>
      </c>
      <c r="M62">
        <f t="shared" si="0"/>
        <v>626.15331181887484</v>
      </c>
      <c r="N62">
        <f t="shared" si="1"/>
        <v>1.8894876960137103E-2</v>
      </c>
      <c r="O62">
        <f t="shared" si="2"/>
        <v>1.4296136160070683E-4</v>
      </c>
    </row>
    <row r="63" spans="1:15" x14ac:dyDescent="0.2">
      <c r="A63">
        <v>62</v>
      </c>
      <c r="B63" t="s">
        <v>243</v>
      </c>
      <c r="C63" t="s">
        <v>243</v>
      </c>
      <c r="D63">
        <v>6344</v>
      </c>
      <c r="E63" t="s">
        <v>189</v>
      </c>
      <c r="F63" t="s">
        <v>1803</v>
      </c>
      <c r="G63" t="s">
        <v>1804</v>
      </c>
      <c r="H63">
        <v>213101</v>
      </c>
      <c r="I63">
        <v>203</v>
      </c>
      <c r="J63">
        <v>25.376505000000002</v>
      </c>
      <c r="K63">
        <v>86.476588000000007</v>
      </c>
      <c r="L63">
        <v>49.785961149999999</v>
      </c>
      <c r="M63">
        <f t="shared" si="0"/>
        <v>829.34125326747539</v>
      </c>
      <c r="N63">
        <f t="shared" si="1"/>
        <v>1.6914793530083461E-2</v>
      </c>
      <c r="O63">
        <f t="shared" si="2"/>
        <v>1.0802739142204804E-4</v>
      </c>
    </row>
    <row r="64" spans="1:15" x14ac:dyDescent="0.2">
      <c r="A64">
        <v>63</v>
      </c>
      <c r="B64" t="s">
        <v>246</v>
      </c>
      <c r="C64" t="s">
        <v>246</v>
      </c>
      <c r="D64">
        <v>621</v>
      </c>
      <c r="E64" t="s">
        <v>189</v>
      </c>
      <c r="F64" t="s">
        <v>1803</v>
      </c>
      <c r="G64" t="s">
        <v>1804</v>
      </c>
      <c r="H64">
        <v>393724</v>
      </c>
      <c r="I64">
        <v>113</v>
      </c>
      <c r="J64">
        <v>26.1208876</v>
      </c>
      <c r="K64">
        <v>85.3647201</v>
      </c>
      <c r="L64">
        <v>59.51567841</v>
      </c>
      <c r="M64">
        <f t="shared" si="0"/>
        <v>692.20180407119426</v>
      </c>
      <c r="N64">
        <f t="shared" si="1"/>
        <v>1.8860344284305351E-2</v>
      </c>
      <c r="O64">
        <f t="shared" si="2"/>
        <v>1.293858721766603E-4</v>
      </c>
    </row>
    <row r="65" spans="1:15" x14ac:dyDescent="0.2">
      <c r="A65">
        <v>64</v>
      </c>
      <c r="B65" t="s">
        <v>252</v>
      </c>
      <c r="C65" t="s">
        <v>252</v>
      </c>
      <c r="D65">
        <v>6324</v>
      </c>
      <c r="E65" t="s">
        <v>189</v>
      </c>
      <c r="F65" t="s">
        <v>1803</v>
      </c>
      <c r="G65" t="s">
        <v>1804</v>
      </c>
      <c r="H65">
        <v>118820</v>
      </c>
      <c r="I65">
        <v>377</v>
      </c>
      <c r="J65">
        <v>24.877299000000001</v>
      </c>
      <c r="K65">
        <v>85.538433999999995</v>
      </c>
      <c r="L65">
        <v>90.879348750000005</v>
      </c>
      <c r="M65">
        <f t="shared" si="0"/>
        <v>778.79372490112189</v>
      </c>
      <c r="N65">
        <f t="shared" si="1"/>
        <v>1.273610326824259E-2</v>
      </c>
      <c r="O65">
        <f t="shared" si="2"/>
        <v>1.1482163794449899E-4</v>
      </c>
    </row>
    <row r="66" spans="1:15" x14ac:dyDescent="0.2">
      <c r="A66">
        <v>65</v>
      </c>
      <c r="B66" t="s">
        <v>258</v>
      </c>
      <c r="C66" t="s">
        <v>258</v>
      </c>
      <c r="D66">
        <v>612</v>
      </c>
      <c r="E66" t="s">
        <v>189</v>
      </c>
      <c r="F66" t="s">
        <v>1803</v>
      </c>
      <c r="G66" t="s">
        <v>1804</v>
      </c>
      <c r="H66">
        <v>2046652</v>
      </c>
      <c r="I66">
        <v>17</v>
      </c>
      <c r="J66">
        <v>25.594094699999999</v>
      </c>
      <c r="K66">
        <v>85.137564499999996</v>
      </c>
      <c r="L66">
        <v>54.955631259999997</v>
      </c>
      <c r="M66">
        <f t="shared" si="0"/>
        <v>701.06987570181138</v>
      </c>
      <c r="N66">
        <f t="shared" si="1"/>
        <v>1.9272214542772274E-2</v>
      </c>
      <c r="O66">
        <f t="shared" si="2"/>
        <v>1.2777035286866214E-4</v>
      </c>
    </row>
    <row r="67" spans="1:15" x14ac:dyDescent="0.2">
      <c r="A67">
        <v>66</v>
      </c>
      <c r="B67" t="s">
        <v>263</v>
      </c>
      <c r="C67" t="s">
        <v>263</v>
      </c>
      <c r="D67">
        <v>6454</v>
      </c>
      <c r="E67" t="s">
        <v>189</v>
      </c>
      <c r="F67" t="s">
        <v>1803</v>
      </c>
      <c r="G67" t="s">
        <v>1804</v>
      </c>
      <c r="H67">
        <v>310817</v>
      </c>
      <c r="I67">
        <v>143</v>
      </c>
      <c r="J67">
        <v>25.777139099999999</v>
      </c>
      <c r="K67">
        <v>87.475255099999998</v>
      </c>
      <c r="L67">
        <v>42.605995180000001</v>
      </c>
      <c r="M67">
        <f t="shared" ref="M67:M130" si="3">2*6371*ASIN(SQRT(
    SIN(RADIANS(J67-$V$6)/2)^2 +
    COS(RADIANS($V$6)) * COS(RADIANS(J67)) *
    SIN(RADIANS(K67-$V$7)/2)^2
))</f>
        <v>899.45392904019297</v>
      </c>
      <c r="N67">
        <f t="shared" ref="N67:N130" si="4">($V$5-L67)/(M67*1000)*100</f>
        <v>1.6394539159705037E-2</v>
      </c>
      <c r="O67">
        <f t="shared" ref="O67:O130" si="5">DEGREES(ATAN($V$5-L67)/(M67*1000))</f>
        <v>9.9628736087167133E-5</v>
      </c>
    </row>
    <row r="68" spans="1:15" x14ac:dyDescent="0.2">
      <c r="A68">
        <v>67</v>
      </c>
      <c r="B68" t="s">
        <v>268</v>
      </c>
      <c r="C68" t="s">
        <v>268</v>
      </c>
      <c r="D68">
        <v>6478</v>
      </c>
      <c r="E68" t="s">
        <v>189</v>
      </c>
      <c r="F68" t="s">
        <v>1803</v>
      </c>
      <c r="G68" t="s">
        <v>1804</v>
      </c>
      <c r="H68">
        <v>155175</v>
      </c>
      <c r="I68">
        <v>280</v>
      </c>
      <c r="J68">
        <v>25.883496099999999</v>
      </c>
      <c r="K68">
        <v>86.6006249</v>
      </c>
      <c r="L68">
        <v>48.172683720000002</v>
      </c>
      <c r="M68">
        <f t="shared" si="3"/>
        <v>814.84476839525746</v>
      </c>
      <c r="N68">
        <f t="shared" si="4"/>
        <v>1.7413701797392045E-2</v>
      </c>
      <c r="O68">
        <f t="shared" si="5"/>
        <v>1.0995494988480226E-4</v>
      </c>
    </row>
    <row r="69" spans="1:15" x14ac:dyDescent="0.2">
      <c r="A69">
        <v>68</v>
      </c>
      <c r="B69" t="s">
        <v>1815</v>
      </c>
      <c r="C69" t="s">
        <v>266</v>
      </c>
      <c r="D69">
        <v>6184</v>
      </c>
      <c r="E69" t="s">
        <v>189</v>
      </c>
      <c r="F69" t="s">
        <v>1803</v>
      </c>
      <c r="G69" t="s">
        <v>1804</v>
      </c>
      <c r="H69">
        <v>147396</v>
      </c>
      <c r="I69">
        <v>302</v>
      </c>
      <c r="J69">
        <v>24.949036</v>
      </c>
      <c r="K69">
        <v>84.031429500000002</v>
      </c>
      <c r="L69">
        <v>108.24072270000001</v>
      </c>
      <c r="M69">
        <f t="shared" si="3"/>
        <v>654.79411820662676</v>
      </c>
      <c r="N69">
        <f t="shared" si="4"/>
        <v>1.24965385034474E-2</v>
      </c>
      <c r="O69">
        <f t="shared" si="5"/>
        <v>1.3637847784458355E-4</v>
      </c>
    </row>
    <row r="70" spans="1:15" x14ac:dyDescent="0.2">
      <c r="A70">
        <v>69</v>
      </c>
      <c r="B70" t="s">
        <v>283</v>
      </c>
      <c r="C70" t="s">
        <v>283</v>
      </c>
      <c r="D70">
        <v>6226</v>
      </c>
      <c r="E70" t="s">
        <v>189</v>
      </c>
      <c r="F70" t="s">
        <v>1803</v>
      </c>
      <c r="G70" t="s">
        <v>1804</v>
      </c>
      <c r="H70">
        <v>105924</v>
      </c>
      <c r="I70">
        <v>433</v>
      </c>
      <c r="J70">
        <v>26.5952476</v>
      </c>
      <c r="K70">
        <v>85.4808393</v>
      </c>
      <c r="L70">
        <v>67</v>
      </c>
      <c r="M70">
        <f t="shared" si="3"/>
        <v>680.71293435052769</v>
      </c>
      <c r="N70">
        <f t="shared" si="4"/>
        <v>1.8079180751489506E-2</v>
      </c>
      <c r="O70">
        <f t="shared" si="5"/>
        <v>1.315304017310253E-4</v>
      </c>
    </row>
    <row r="71" spans="1:15" x14ac:dyDescent="0.2">
      <c r="A71">
        <v>70</v>
      </c>
      <c r="B71" t="s">
        <v>286</v>
      </c>
      <c r="C71" t="s">
        <v>286</v>
      </c>
      <c r="D71">
        <v>6154</v>
      </c>
      <c r="E71" t="s">
        <v>189</v>
      </c>
      <c r="F71" t="s">
        <v>1803</v>
      </c>
      <c r="G71" t="s">
        <v>1804</v>
      </c>
      <c r="H71">
        <v>134458</v>
      </c>
      <c r="I71">
        <v>337</v>
      </c>
      <c r="J71">
        <v>26.219620500000001</v>
      </c>
      <c r="K71">
        <v>84.356659300000004</v>
      </c>
      <c r="L71">
        <v>71.353355410000006</v>
      </c>
      <c r="M71">
        <f t="shared" si="3"/>
        <v>598.36230654002725</v>
      </c>
      <c r="N71">
        <f t="shared" si="4"/>
        <v>1.9839813620020977E-2</v>
      </c>
      <c r="O71">
        <f t="shared" si="5"/>
        <v>1.4960396604179763E-4</v>
      </c>
    </row>
    <row r="72" spans="1:15" x14ac:dyDescent="0.2">
      <c r="A72">
        <v>71</v>
      </c>
      <c r="B72" t="s">
        <v>293</v>
      </c>
      <c r="C72" t="s">
        <v>293</v>
      </c>
      <c r="D72">
        <v>172</v>
      </c>
      <c r="E72" t="s">
        <v>293</v>
      </c>
      <c r="F72" t="s">
        <v>1816</v>
      </c>
      <c r="G72" t="s">
        <v>1817</v>
      </c>
      <c r="H72">
        <v>1054686</v>
      </c>
      <c r="I72">
        <v>41</v>
      </c>
      <c r="J72">
        <v>30.739973800000001</v>
      </c>
      <c r="K72">
        <v>76.756736799999999</v>
      </c>
      <c r="L72">
        <v>334.12863160000001</v>
      </c>
      <c r="M72">
        <f t="shared" si="3"/>
        <v>308.17455205811967</v>
      </c>
      <c r="N72">
        <f t="shared" si="4"/>
        <v>-4.6746659916562808E-2</v>
      </c>
      <c r="O72">
        <f t="shared" si="5"/>
        <v>-2.9075174366287402E-4</v>
      </c>
    </row>
    <row r="73" spans="1:15" x14ac:dyDescent="0.2">
      <c r="A73">
        <v>72</v>
      </c>
      <c r="B73" t="s">
        <v>1818</v>
      </c>
      <c r="C73" t="s">
        <v>339</v>
      </c>
      <c r="D73">
        <v>7774</v>
      </c>
      <c r="E73" t="s">
        <v>295</v>
      </c>
      <c r="F73" t="s">
        <v>1819</v>
      </c>
      <c r="G73" t="s">
        <v>1820</v>
      </c>
      <c r="H73">
        <v>114575</v>
      </c>
      <c r="I73">
        <v>399</v>
      </c>
      <c r="J73">
        <v>23.1354921</v>
      </c>
      <c r="K73">
        <v>83.181785599999998</v>
      </c>
      <c r="L73">
        <v>604.11859130000005</v>
      </c>
      <c r="M73">
        <f t="shared" si="3"/>
        <v>753.44443015114109</v>
      </c>
      <c r="N73">
        <f t="shared" si="4"/>
        <v>-5.4954453564271658E-2</v>
      </c>
      <c r="O73">
        <f t="shared" si="5"/>
        <v>-1.1926774982600941E-4</v>
      </c>
    </row>
    <row r="74" spans="1:15" x14ac:dyDescent="0.2">
      <c r="A74">
        <v>73</v>
      </c>
      <c r="B74" t="s">
        <v>299</v>
      </c>
      <c r="C74" t="s">
        <v>299</v>
      </c>
      <c r="D74">
        <v>7752</v>
      </c>
      <c r="E74" t="s">
        <v>295</v>
      </c>
      <c r="F74" t="s">
        <v>1819</v>
      </c>
      <c r="G74" t="s">
        <v>1820</v>
      </c>
      <c r="H74">
        <v>330106</v>
      </c>
      <c r="I74">
        <v>131</v>
      </c>
      <c r="J74">
        <v>22.079625100000001</v>
      </c>
      <c r="K74">
        <v>82.139141199999997</v>
      </c>
      <c r="L74">
        <v>270.49664310000003</v>
      </c>
      <c r="M74">
        <f t="shared" si="3"/>
        <v>808.85105487897863</v>
      </c>
      <c r="N74">
        <f t="shared" si="4"/>
        <v>-9.9436504180654087E-3</v>
      </c>
      <c r="O74">
        <f t="shared" si="5"/>
        <v>-1.103882623259389E-4</v>
      </c>
    </row>
    <row r="75" spans="1:15" x14ac:dyDescent="0.2">
      <c r="A75">
        <v>74</v>
      </c>
      <c r="B75" t="s">
        <v>1821</v>
      </c>
      <c r="C75" t="s">
        <v>324</v>
      </c>
      <c r="D75">
        <v>7771</v>
      </c>
      <c r="E75" t="s">
        <v>295</v>
      </c>
      <c r="F75" t="s">
        <v>1819</v>
      </c>
      <c r="G75" t="s">
        <v>1820</v>
      </c>
      <c r="H75">
        <v>103575</v>
      </c>
      <c r="I75">
        <v>444</v>
      </c>
      <c r="J75">
        <v>23.1879502</v>
      </c>
      <c r="K75">
        <v>82.354162000000002</v>
      </c>
      <c r="L75">
        <v>579.02069089999998</v>
      </c>
      <c r="M75">
        <f t="shared" si="3"/>
        <v>706.04748975260554</v>
      </c>
      <c r="N75">
        <f t="shared" si="4"/>
        <v>-5.5088839595802075E-2</v>
      </c>
      <c r="O75">
        <f t="shared" si="5"/>
        <v>-1.2726154267060573E-4</v>
      </c>
    </row>
    <row r="76" spans="1:15" x14ac:dyDescent="0.2">
      <c r="A76">
        <v>75</v>
      </c>
      <c r="B76" t="s">
        <v>305</v>
      </c>
      <c r="C76" t="s">
        <v>305</v>
      </c>
      <c r="D76">
        <v>7722</v>
      </c>
      <c r="E76" t="s">
        <v>295</v>
      </c>
      <c r="F76" t="s">
        <v>1819</v>
      </c>
      <c r="G76" t="s">
        <v>1820</v>
      </c>
      <c r="H76">
        <v>101677</v>
      </c>
      <c r="I76">
        <v>453</v>
      </c>
      <c r="J76">
        <v>20.701499900000002</v>
      </c>
      <c r="K76">
        <v>81.554157900000007</v>
      </c>
      <c r="L76">
        <v>326.93154909999998</v>
      </c>
      <c r="M76">
        <f t="shared" si="3"/>
        <v>934.79243875705367</v>
      </c>
      <c r="N76">
        <f t="shared" si="4"/>
        <v>-1.4641135467674668E-2</v>
      </c>
      <c r="O76">
        <f t="shared" si="5"/>
        <v>-9.5830230845429343E-5</v>
      </c>
    </row>
    <row r="77" spans="1:15" x14ac:dyDescent="0.2">
      <c r="A77">
        <v>76</v>
      </c>
      <c r="B77" t="s">
        <v>307</v>
      </c>
      <c r="C77" t="s">
        <v>307</v>
      </c>
      <c r="D77">
        <v>788</v>
      </c>
      <c r="E77" t="s">
        <v>295</v>
      </c>
      <c r="F77" t="s">
        <v>1819</v>
      </c>
      <c r="G77" t="s">
        <v>1820</v>
      </c>
      <c r="H77">
        <v>894376</v>
      </c>
      <c r="I77">
        <v>55</v>
      </c>
      <c r="J77">
        <v>21.190449399999999</v>
      </c>
      <c r="K77">
        <v>81.284916899999999</v>
      </c>
      <c r="L77">
        <v>296.6963806</v>
      </c>
      <c r="M77">
        <f t="shared" si="3"/>
        <v>875.04290889864058</v>
      </c>
      <c r="N77">
        <f t="shared" si="4"/>
        <v>-1.2185580583037583E-2</v>
      </c>
      <c r="O77">
        <f t="shared" si="5"/>
        <v>-1.0223804736751781E-4</v>
      </c>
    </row>
    <row r="78" spans="1:15" x14ac:dyDescent="0.2">
      <c r="A78">
        <v>77</v>
      </c>
      <c r="B78" t="s">
        <v>1822</v>
      </c>
      <c r="C78" t="s">
        <v>296</v>
      </c>
      <c r="D78">
        <v>7782</v>
      </c>
      <c r="E78" t="s">
        <v>295</v>
      </c>
      <c r="F78" t="s">
        <v>1819</v>
      </c>
      <c r="G78" t="s">
        <v>1820</v>
      </c>
      <c r="H78">
        <v>125345</v>
      </c>
      <c r="I78">
        <v>365</v>
      </c>
      <c r="J78">
        <v>19.074097299999998</v>
      </c>
      <c r="K78">
        <v>82.008014000000003</v>
      </c>
      <c r="L78">
        <v>559.72241210000004</v>
      </c>
      <c r="M78">
        <f t="shared" si="3"/>
        <v>1121.8624854516875</v>
      </c>
      <c r="N78">
        <f t="shared" si="4"/>
        <v>-3.2950124912249697E-2</v>
      </c>
      <c r="O78">
        <f t="shared" si="5"/>
        <v>-8.0085575191064405E-5</v>
      </c>
    </row>
    <row r="79" spans="1:15" x14ac:dyDescent="0.2">
      <c r="A79">
        <v>78</v>
      </c>
      <c r="B79" t="s">
        <v>321</v>
      </c>
      <c r="C79" t="s">
        <v>321</v>
      </c>
      <c r="D79">
        <v>7759</v>
      </c>
      <c r="E79" t="s">
        <v>295</v>
      </c>
      <c r="F79" t="s">
        <v>1819</v>
      </c>
      <c r="G79" t="s">
        <v>1820</v>
      </c>
      <c r="H79">
        <v>363210</v>
      </c>
      <c r="I79">
        <v>121</v>
      </c>
      <c r="J79">
        <v>22.3594501</v>
      </c>
      <c r="K79">
        <v>82.750059500000006</v>
      </c>
      <c r="L79">
        <v>314.95242309999998</v>
      </c>
      <c r="M79">
        <f t="shared" si="3"/>
        <v>806.54914986406914</v>
      </c>
      <c r="N79">
        <f t="shared" si="4"/>
        <v>-1.5483879850477476E-2</v>
      </c>
      <c r="O79">
        <f t="shared" si="5"/>
        <v>-1.1101768797473969E-4</v>
      </c>
    </row>
    <row r="80" spans="1:15" x14ac:dyDescent="0.2">
      <c r="A80">
        <v>79</v>
      </c>
      <c r="B80" t="s">
        <v>327</v>
      </c>
      <c r="C80" t="s">
        <v>327</v>
      </c>
      <c r="D80">
        <v>7723</v>
      </c>
      <c r="E80" t="s">
        <v>295</v>
      </c>
      <c r="F80" t="s">
        <v>1819</v>
      </c>
      <c r="G80" t="s">
        <v>1820</v>
      </c>
      <c r="H80">
        <v>96850</v>
      </c>
      <c r="I80">
        <v>481</v>
      </c>
      <c r="J80">
        <v>21.109131699999999</v>
      </c>
      <c r="K80">
        <v>82.097902300000001</v>
      </c>
      <c r="L80">
        <v>298.61297610000003</v>
      </c>
      <c r="M80">
        <f t="shared" si="3"/>
        <v>908.32289913301508</v>
      </c>
      <c r="N80">
        <f t="shared" si="4"/>
        <v>-1.1950117563215212E-2</v>
      </c>
      <c r="O80">
        <f t="shared" si="5"/>
        <v>-9.8502597946819567E-5</v>
      </c>
    </row>
    <row r="81" spans="1:15" x14ac:dyDescent="0.2">
      <c r="A81">
        <v>80</v>
      </c>
      <c r="B81" t="s">
        <v>1823</v>
      </c>
      <c r="C81" t="s">
        <v>333</v>
      </c>
      <c r="D81">
        <v>771</v>
      </c>
      <c r="E81" t="s">
        <v>295</v>
      </c>
      <c r="F81" t="s">
        <v>1819</v>
      </c>
      <c r="G81" t="s">
        <v>1820</v>
      </c>
      <c r="H81">
        <v>560000</v>
      </c>
      <c r="I81">
        <v>77</v>
      </c>
      <c r="J81">
        <v>21.164993200000001</v>
      </c>
      <c r="K81">
        <v>81.775305500000002</v>
      </c>
      <c r="L81">
        <v>314</v>
      </c>
      <c r="M81">
        <f t="shared" si="3"/>
        <v>891.85297054406158</v>
      </c>
      <c r="N81">
        <f t="shared" si="4"/>
        <v>-1.3896088513827197E-2</v>
      </c>
      <c r="O81">
        <f t="shared" si="5"/>
        <v>-1.0039513154500135E-4</v>
      </c>
    </row>
    <row r="82" spans="1:15" x14ac:dyDescent="0.2">
      <c r="A82">
        <v>81</v>
      </c>
      <c r="B82" t="s">
        <v>1824</v>
      </c>
      <c r="C82" t="s">
        <v>1825</v>
      </c>
      <c r="D82">
        <v>7844</v>
      </c>
      <c r="E82" t="s">
        <v>295</v>
      </c>
      <c r="F82" t="s">
        <v>1819</v>
      </c>
      <c r="G82" t="s">
        <v>1820</v>
      </c>
      <c r="H82">
        <v>142240</v>
      </c>
      <c r="I82">
        <v>320</v>
      </c>
      <c r="J82">
        <v>20.039991300000001</v>
      </c>
      <c r="K82">
        <v>80.627141499999993</v>
      </c>
      <c r="L82">
        <v>335.37033079999998</v>
      </c>
      <c r="M82">
        <f t="shared" si="3"/>
        <v>986.26951236416221</v>
      </c>
      <c r="N82">
        <f t="shared" si="4"/>
        <v>-1.473258649673736E-2</v>
      </c>
      <c r="O82">
        <f t="shared" si="5"/>
        <v>-9.0853144917167356E-5</v>
      </c>
    </row>
    <row r="83" spans="1:15" x14ac:dyDescent="0.2">
      <c r="A83">
        <v>82</v>
      </c>
      <c r="B83" t="s">
        <v>330</v>
      </c>
      <c r="C83" t="s">
        <v>330</v>
      </c>
      <c r="D83">
        <v>7762</v>
      </c>
      <c r="E83" t="s">
        <v>295</v>
      </c>
      <c r="F83" t="s">
        <v>1819</v>
      </c>
      <c r="G83" t="s">
        <v>1820</v>
      </c>
      <c r="H83">
        <v>100097</v>
      </c>
      <c r="I83">
        <v>465</v>
      </c>
      <c r="J83">
        <v>21.897400300000001</v>
      </c>
      <c r="K83">
        <v>83.394963200000007</v>
      </c>
      <c r="L83">
        <v>225.99443049999999</v>
      </c>
      <c r="M83">
        <f t="shared" si="3"/>
        <v>883.02717472244285</v>
      </c>
      <c r="N83">
        <f t="shared" si="4"/>
        <v>-4.0686300182429559E-3</v>
      </c>
      <c r="O83">
        <f t="shared" si="5"/>
        <v>-1.0011654874638057E-4</v>
      </c>
    </row>
    <row r="84" spans="1:15" x14ac:dyDescent="0.2">
      <c r="A84">
        <v>83</v>
      </c>
      <c r="B84" t="s">
        <v>333</v>
      </c>
      <c r="C84" t="s">
        <v>333</v>
      </c>
      <c r="D84">
        <v>771</v>
      </c>
      <c r="E84" t="s">
        <v>295</v>
      </c>
      <c r="F84" t="s">
        <v>1819</v>
      </c>
      <c r="G84" t="s">
        <v>1820</v>
      </c>
      <c r="H84">
        <v>1010087</v>
      </c>
      <c r="I84">
        <v>44</v>
      </c>
      <c r="J84">
        <v>21.251384399999999</v>
      </c>
      <c r="K84">
        <v>81.629641300000003</v>
      </c>
      <c r="L84">
        <v>296.9813843</v>
      </c>
      <c r="M84">
        <f t="shared" si="3"/>
        <v>878.21180001755579</v>
      </c>
      <c r="N84">
        <f t="shared" si="4"/>
        <v>-1.2174063534316293E-2</v>
      </c>
      <c r="O84">
        <f t="shared" si="5"/>
        <v>-1.0187076811757952E-4</v>
      </c>
    </row>
    <row r="85" spans="1:15" x14ac:dyDescent="0.2">
      <c r="A85">
        <v>84</v>
      </c>
      <c r="B85" t="s">
        <v>1826</v>
      </c>
      <c r="C85" t="s">
        <v>1826</v>
      </c>
      <c r="D85">
        <v>7744</v>
      </c>
      <c r="E85" t="s">
        <v>295</v>
      </c>
      <c r="F85" t="s">
        <v>1819</v>
      </c>
      <c r="G85" t="s">
        <v>1820</v>
      </c>
      <c r="H85">
        <v>263122</v>
      </c>
      <c r="I85">
        <v>170</v>
      </c>
      <c r="J85">
        <v>21.097103400000002</v>
      </c>
      <c r="K85">
        <v>81.030222199999997</v>
      </c>
      <c r="L85">
        <v>309.67642210000002</v>
      </c>
      <c r="M85">
        <f t="shared" si="3"/>
        <v>878.84563825787802</v>
      </c>
      <c r="N85">
        <f t="shared" si="4"/>
        <v>-1.3609796202334153E-2</v>
      </c>
      <c r="O85">
        <f t="shared" si="5"/>
        <v>-1.0186201308945746E-4</v>
      </c>
    </row>
    <row r="86" spans="1:15" x14ac:dyDescent="0.2">
      <c r="A86">
        <v>85</v>
      </c>
      <c r="B86" t="s">
        <v>346</v>
      </c>
      <c r="C86" t="s">
        <v>346</v>
      </c>
      <c r="D86">
        <v>2875</v>
      </c>
      <c r="E86" t="s">
        <v>1827</v>
      </c>
      <c r="F86" t="s">
        <v>1828</v>
      </c>
      <c r="G86" t="s">
        <v>1829</v>
      </c>
      <c r="H86">
        <v>191173</v>
      </c>
      <c r="I86">
        <v>229</v>
      </c>
      <c r="J86">
        <v>20.397373600000002</v>
      </c>
      <c r="K86">
        <v>72.832799100000003</v>
      </c>
      <c r="L86">
        <v>13.75084972</v>
      </c>
      <c r="M86">
        <f t="shared" si="3"/>
        <v>1123.1704514131952</v>
      </c>
      <c r="N86">
        <f t="shared" si="4"/>
        <v>1.5698104580489557E-2</v>
      </c>
      <c r="O86">
        <f t="shared" si="5"/>
        <v>7.9840992515431842E-5</v>
      </c>
    </row>
    <row r="87" spans="1:15" x14ac:dyDescent="0.2">
      <c r="A87">
        <v>86</v>
      </c>
      <c r="B87" t="s">
        <v>1830</v>
      </c>
      <c r="C87" t="s">
        <v>342</v>
      </c>
      <c r="D87">
        <v>260</v>
      </c>
      <c r="E87" t="s">
        <v>1827</v>
      </c>
      <c r="F87" t="s">
        <v>1828</v>
      </c>
      <c r="G87" t="s">
        <v>1829</v>
      </c>
      <c r="H87">
        <v>98265</v>
      </c>
      <c r="I87">
        <v>472</v>
      </c>
      <c r="J87">
        <v>20.276265899999999</v>
      </c>
      <c r="K87">
        <v>73.008306099999999</v>
      </c>
      <c r="L87">
        <v>45.385978700000003</v>
      </c>
      <c r="M87">
        <f t="shared" si="3"/>
        <v>1124.8643458517902</v>
      </c>
      <c r="N87">
        <f t="shared" si="4"/>
        <v>1.2862114763753291E-2</v>
      </c>
      <c r="O87">
        <f t="shared" si="5"/>
        <v>7.9657598746499415E-5</v>
      </c>
    </row>
    <row r="88" spans="1:15" x14ac:dyDescent="0.2">
      <c r="A88">
        <v>87</v>
      </c>
      <c r="B88" t="s">
        <v>351</v>
      </c>
      <c r="C88" t="s">
        <v>351</v>
      </c>
      <c r="D88">
        <v>11</v>
      </c>
      <c r="E88" t="s">
        <v>351</v>
      </c>
      <c r="F88" t="s">
        <v>1831</v>
      </c>
      <c r="G88" t="s">
        <v>1832</v>
      </c>
      <c r="H88">
        <v>16314838</v>
      </c>
      <c r="I88">
        <v>1</v>
      </c>
      <c r="J88">
        <v>28.6139391</v>
      </c>
      <c r="K88">
        <v>77.209021199999995</v>
      </c>
      <c r="L88">
        <v>213.15859990000001</v>
      </c>
      <c r="M88">
        <f t="shared" si="3"/>
        <v>178.18095349432798</v>
      </c>
      <c r="N88">
        <f t="shared" si="4"/>
        <v>-1.2959453660536772E-2</v>
      </c>
      <c r="O88">
        <f t="shared" si="5"/>
        <v>-4.9118760490442627E-4</v>
      </c>
    </row>
    <row r="89" spans="1:15" x14ac:dyDescent="0.2">
      <c r="A89">
        <v>88</v>
      </c>
      <c r="B89" t="s">
        <v>1833</v>
      </c>
      <c r="C89" t="s">
        <v>358</v>
      </c>
      <c r="D89">
        <v>832</v>
      </c>
      <c r="E89" t="s">
        <v>354</v>
      </c>
      <c r="F89" t="s">
        <v>1834</v>
      </c>
      <c r="G89" t="s">
        <v>1835</v>
      </c>
      <c r="H89">
        <v>87650</v>
      </c>
      <c r="I89">
        <v>517</v>
      </c>
      <c r="J89">
        <v>15.283218700000001</v>
      </c>
      <c r="K89">
        <v>73.986191000000005</v>
      </c>
      <c r="L89">
        <v>34.680068970000001</v>
      </c>
      <c r="M89">
        <f t="shared" si="3"/>
        <v>1588.4787066572756</v>
      </c>
      <c r="N89">
        <f t="shared" si="4"/>
        <v>9.782142636144622E-3</v>
      </c>
      <c r="O89">
        <f t="shared" si="5"/>
        <v>5.6425859382729465E-5</v>
      </c>
    </row>
    <row r="90" spans="1:15" x14ac:dyDescent="0.2">
      <c r="A90">
        <v>89</v>
      </c>
      <c r="B90" t="s">
        <v>1836</v>
      </c>
      <c r="C90" t="s">
        <v>358</v>
      </c>
      <c r="D90">
        <v>832</v>
      </c>
      <c r="E90" t="s">
        <v>354</v>
      </c>
      <c r="F90" t="s">
        <v>1834</v>
      </c>
      <c r="G90" t="s">
        <v>1835</v>
      </c>
      <c r="H90">
        <v>97085</v>
      </c>
      <c r="I90">
        <v>479</v>
      </c>
      <c r="J90">
        <v>15.387435200000001</v>
      </c>
      <c r="K90">
        <v>73.815439400000002</v>
      </c>
      <c r="L90">
        <v>25.819467540000002</v>
      </c>
      <c r="M90">
        <f t="shared" si="3"/>
        <v>1583.3087573656369</v>
      </c>
      <c r="N90">
        <f t="shared" si="4"/>
        <v>1.0373709707339786E-2</v>
      </c>
      <c r="O90">
        <f t="shared" si="5"/>
        <v>5.6622668562871298E-5</v>
      </c>
    </row>
    <row r="91" spans="1:15" x14ac:dyDescent="0.2">
      <c r="A91">
        <v>90</v>
      </c>
      <c r="B91" t="s">
        <v>1837</v>
      </c>
      <c r="C91" t="s">
        <v>355</v>
      </c>
      <c r="D91">
        <v>832</v>
      </c>
      <c r="E91" t="s">
        <v>354</v>
      </c>
      <c r="F91" t="s">
        <v>1834</v>
      </c>
      <c r="G91" t="s">
        <v>1835</v>
      </c>
      <c r="H91">
        <v>114405</v>
      </c>
      <c r="I91">
        <v>401</v>
      </c>
      <c r="J91">
        <v>15.4909301</v>
      </c>
      <c r="K91">
        <v>73.827849599999993</v>
      </c>
      <c r="L91">
        <v>51.439487460000002</v>
      </c>
      <c r="M91">
        <f t="shared" si="3"/>
        <v>1571.9911666678101</v>
      </c>
      <c r="N91">
        <f t="shared" si="4"/>
        <v>8.8186140787198542E-3</v>
      </c>
      <c r="O91">
        <f t="shared" si="5"/>
        <v>5.6989315594064959E-5</v>
      </c>
    </row>
    <row r="92" spans="1:15" x14ac:dyDescent="0.2">
      <c r="A92">
        <v>91</v>
      </c>
      <c r="B92" t="s">
        <v>1838</v>
      </c>
      <c r="C92" t="s">
        <v>358</v>
      </c>
      <c r="D92">
        <v>832</v>
      </c>
      <c r="E92" t="s">
        <v>354</v>
      </c>
      <c r="F92" t="s">
        <v>1834</v>
      </c>
      <c r="G92" t="s">
        <v>1835</v>
      </c>
      <c r="H92">
        <v>100485</v>
      </c>
      <c r="I92">
        <v>460</v>
      </c>
      <c r="J92">
        <v>15.3860329</v>
      </c>
      <c r="K92">
        <v>73.844039800000004</v>
      </c>
      <c r="L92">
        <v>43.955291750000001</v>
      </c>
      <c r="M92">
        <f t="shared" si="3"/>
        <v>1582.4668208102369</v>
      </c>
      <c r="N92">
        <f t="shared" si="4"/>
        <v>9.2331812666498342E-3</v>
      </c>
      <c r="O92">
        <f t="shared" si="5"/>
        <v>5.6625433781924647E-5</v>
      </c>
    </row>
    <row r="93" spans="1:15" x14ac:dyDescent="0.2">
      <c r="A93">
        <v>92</v>
      </c>
      <c r="B93" t="s">
        <v>1839</v>
      </c>
      <c r="C93" t="s">
        <v>1839</v>
      </c>
      <c r="D93">
        <v>79</v>
      </c>
      <c r="E93" t="s">
        <v>360</v>
      </c>
      <c r="F93" t="s">
        <v>1840</v>
      </c>
      <c r="G93" t="s">
        <v>1841</v>
      </c>
      <c r="H93">
        <v>6577940</v>
      </c>
      <c r="I93">
        <v>7</v>
      </c>
      <c r="J93">
        <v>23.022504999999999</v>
      </c>
      <c r="K93">
        <v>72.571362100000002</v>
      </c>
      <c r="L93">
        <v>50.387512209999997</v>
      </c>
      <c r="M93">
        <f t="shared" si="3"/>
        <v>909.48731576020145</v>
      </c>
      <c r="N93">
        <f t="shared" si="4"/>
        <v>1.5358082204065444E-2</v>
      </c>
      <c r="O93">
        <f t="shared" si="5"/>
        <v>9.8505841416307864E-5</v>
      </c>
    </row>
    <row r="94" spans="1:15" x14ac:dyDescent="0.2">
      <c r="A94">
        <v>93</v>
      </c>
      <c r="B94" t="s">
        <v>364</v>
      </c>
      <c r="C94" t="s">
        <v>364</v>
      </c>
      <c r="D94">
        <v>2792</v>
      </c>
      <c r="E94" t="s">
        <v>360</v>
      </c>
      <c r="F94" t="s">
        <v>1840</v>
      </c>
      <c r="G94" t="s">
        <v>1841</v>
      </c>
      <c r="H94">
        <v>105573</v>
      </c>
      <c r="I94">
        <v>435</v>
      </c>
      <c r="J94">
        <v>21.6031774</v>
      </c>
      <c r="K94">
        <v>71.2220832</v>
      </c>
      <c r="L94">
        <v>125.6765442</v>
      </c>
      <c r="M94">
        <f t="shared" si="3"/>
        <v>1119.5276906794159</v>
      </c>
      <c r="N94">
        <f t="shared" si="4"/>
        <v>5.7516020493358867E-3</v>
      </c>
      <c r="O94">
        <f t="shared" si="5"/>
        <v>7.9596296568173056E-5</v>
      </c>
    </row>
    <row r="95" spans="1:15" x14ac:dyDescent="0.2">
      <c r="A95">
        <v>94</v>
      </c>
      <c r="B95" t="s">
        <v>364</v>
      </c>
      <c r="C95" t="s">
        <v>364</v>
      </c>
      <c r="D95">
        <v>2792</v>
      </c>
      <c r="E95" t="s">
        <v>360</v>
      </c>
      <c r="F95" t="s">
        <v>1840</v>
      </c>
      <c r="G95" t="s">
        <v>1841</v>
      </c>
      <c r="H95">
        <v>105573</v>
      </c>
      <c r="I95">
        <v>436</v>
      </c>
      <c r="J95">
        <v>21.6031774</v>
      </c>
      <c r="K95">
        <v>71.2220832</v>
      </c>
      <c r="L95">
        <v>125.6765442</v>
      </c>
      <c r="M95">
        <f t="shared" si="3"/>
        <v>1119.5276906794159</v>
      </c>
      <c r="N95">
        <f t="shared" si="4"/>
        <v>5.7516020493358867E-3</v>
      </c>
      <c r="O95">
        <f t="shared" si="5"/>
        <v>7.9596296568173056E-5</v>
      </c>
    </row>
    <row r="96" spans="1:15" x14ac:dyDescent="0.2">
      <c r="A96">
        <v>95</v>
      </c>
      <c r="B96" t="s">
        <v>367</v>
      </c>
      <c r="C96" t="s">
        <v>367</v>
      </c>
      <c r="D96">
        <v>2692</v>
      </c>
      <c r="E96" t="s">
        <v>360</v>
      </c>
      <c r="F96" t="s">
        <v>1840</v>
      </c>
      <c r="G96" t="s">
        <v>1841</v>
      </c>
      <c r="H96">
        <v>198282</v>
      </c>
      <c r="I96">
        <v>219</v>
      </c>
      <c r="J96">
        <v>22.564517500000001</v>
      </c>
      <c r="K96">
        <v>72.928871000000001</v>
      </c>
      <c r="L96">
        <v>40.316287989999999</v>
      </c>
      <c r="M96">
        <f t="shared" si="3"/>
        <v>922.83395392343118</v>
      </c>
      <c r="N96">
        <f t="shared" si="4"/>
        <v>1.622729995719523E-2</v>
      </c>
      <c r="O96">
        <f t="shared" si="5"/>
        <v>9.7111076593259254E-5</v>
      </c>
    </row>
    <row r="97" spans="1:15" x14ac:dyDescent="0.2">
      <c r="A97">
        <v>96</v>
      </c>
      <c r="B97" t="s">
        <v>1842</v>
      </c>
      <c r="C97" t="s">
        <v>373</v>
      </c>
      <c r="D97">
        <v>2646</v>
      </c>
      <c r="E97" t="s">
        <v>360</v>
      </c>
      <c r="F97" t="s">
        <v>1840</v>
      </c>
      <c r="G97" t="s">
        <v>1841</v>
      </c>
      <c r="H97">
        <v>140839</v>
      </c>
      <c r="I97">
        <v>324</v>
      </c>
      <c r="J97">
        <v>21.626423599999999</v>
      </c>
      <c r="K97">
        <v>73.015198400000003</v>
      </c>
      <c r="L97">
        <v>24.07283211</v>
      </c>
      <c r="M97">
        <f t="shared" si="3"/>
        <v>999.53962568399595</v>
      </c>
      <c r="N97">
        <f t="shared" si="4"/>
        <v>1.6607094448747656E-2</v>
      </c>
      <c r="O97">
        <f t="shared" si="5"/>
        <v>8.9696131214622097E-5</v>
      </c>
    </row>
    <row r="98" spans="1:15" x14ac:dyDescent="0.2">
      <c r="A98">
        <v>97</v>
      </c>
      <c r="B98" t="s">
        <v>373</v>
      </c>
      <c r="C98" t="s">
        <v>373</v>
      </c>
      <c r="D98">
        <v>2642</v>
      </c>
      <c r="E98" t="s">
        <v>360</v>
      </c>
      <c r="F98" t="s">
        <v>1840</v>
      </c>
      <c r="G98" t="s">
        <v>1841</v>
      </c>
      <c r="H98">
        <v>169007</v>
      </c>
      <c r="I98">
        <v>258</v>
      </c>
      <c r="J98">
        <v>21.701962999999999</v>
      </c>
      <c r="K98">
        <v>72.999960000000002</v>
      </c>
      <c r="L98">
        <v>16.833688739999999</v>
      </c>
      <c r="M98">
        <f t="shared" si="3"/>
        <v>993.68469385402454</v>
      </c>
      <c r="N98">
        <f t="shared" si="4"/>
        <v>1.7433460949077332E-2</v>
      </c>
      <c r="O98">
        <f t="shared" si="5"/>
        <v>9.0239148708724521E-5</v>
      </c>
    </row>
    <row r="99" spans="1:15" x14ac:dyDescent="0.2">
      <c r="A99">
        <v>98</v>
      </c>
      <c r="B99" t="s">
        <v>376</v>
      </c>
      <c r="C99" t="s">
        <v>376</v>
      </c>
      <c r="D99">
        <v>278</v>
      </c>
      <c r="E99" t="s">
        <v>360</v>
      </c>
      <c r="F99" t="s">
        <v>1840</v>
      </c>
      <c r="G99" t="s">
        <v>1841</v>
      </c>
      <c r="H99">
        <v>593368</v>
      </c>
      <c r="I99">
        <v>74</v>
      </c>
      <c r="J99">
        <v>21.768063999999999</v>
      </c>
      <c r="K99">
        <v>72.147388000000007</v>
      </c>
      <c r="L99">
        <v>30.208393099999999</v>
      </c>
      <c r="M99">
        <f t="shared" si="3"/>
        <v>1042.4141527417935</v>
      </c>
      <c r="N99">
        <f t="shared" si="4"/>
        <v>1.5335452639388439E-2</v>
      </c>
      <c r="O99">
        <f t="shared" si="5"/>
        <v>8.5994218137424035E-5</v>
      </c>
    </row>
    <row r="100" spans="1:15" x14ac:dyDescent="0.2">
      <c r="A100">
        <v>99</v>
      </c>
      <c r="B100" t="s">
        <v>1843</v>
      </c>
      <c r="C100" t="s">
        <v>1844</v>
      </c>
      <c r="D100">
        <v>2832</v>
      </c>
      <c r="E100" t="s">
        <v>360</v>
      </c>
      <c r="F100" t="s">
        <v>1840</v>
      </c>
      <c r="G100" t="s">
        <v>1841</v>
      </c>
      <c r="H100">
        <v>143286</v>
      </c>
      <c r="I100">
        <v>317</v>
      </c>
      <c r="J100">
        <v>23.241999700000001</v>
      </c>
      <c r="K100">
        <v>69.666932399999993</v>
      </c>
      <c r="L100">
        <v>104.7913437</v>
      </c>
      <c r="M100">
        <f t="shared" si="3"/>
        <v>1119.5533559100838</v>
      </c>
      <c r="N100">
        <f t="shared" si="4"/>
        <v>7.616964180387745E-3</v>
      </c>
      <c r="O100">
        <f t="shared" si="5"/>
        <v>7.9789090722167427E-5</v>
      </c>
    </row>
    <row r="101" spans="1:15" x14ac:dyDescent="0.2">
      <c r="A101">
        <v>100</v>
      </c>
      <c r="B101" t="s">
        <v>1845</v>
      </c>
      <c r="C101" t="s">
        <v>1845</v>
      </c>
      <c r="D101">
        <v>2849</v>
      </c>
      <c r="E101" t="s">
        <v>360</v>
      </c>
      <c r="F101" t="s">
        <v>1840</v>
      </c>
      <c r="G101" t="s">
        <v>1841</v>
      </c>
      <c r="H101">
        <v>130327</v>
      </c>
      <c r="I101">
        <v>350</v>
      </c>
      <c r="J101">
        <v>22.170423199999998</v>
      </c>
      <c r="K101">
        <v>71.6684269</v>
      </c>
      <c r="L101">
        <v>89.018997189999993</v>
      </c>
      <c r="M101">
        <f t="shared" si="3"/>
        <v>1042.0260980644723</v>
      </c>
      <c r="N101">
        <f t="shared" si="4"/>
        <v>9.6972930714205527E-3</v>
      </c>
      <c r="O101">
        <f t="shared" si="5"/>
        <v>8.5826070022502365E-5</v>
      </c>
    </row>
    <row r="102" spans="1:15" x14ac:dyDescent="0.2">
      <c r="A102">
        <v>101</v>
      </c>
      <c r="B102" t="s">
        <v>379</v>
      </c>
      <c r="C102" t="s">
        <v>379</v>
      </c>
      <c r="D102">
        <v>2673</v>
      </c>
      <c r="E102" t="s">
        <v>360</v>
      </c>
      <c r="F102" t="s">
        <v>1840</v>
      </c>
      <c r="G102" t="s">
        <v>1841</v>
      </c>
      <c r="H102">
        <v>118846</v>
      </c>
      <c r="I102">
        <v>375</v>
      </c>
      <c r="J102">
        <v>22.837931399999999</v>
      </c>
      <c r="K102">
        <v>74.2531465</v>
      </c>
      <c r="L102">
        <v>300.2412109</v>
      </c>
      <c r="M102">
        <f t="shared" si="3"/>
        <v>815.9100461368821</v>
      </c>
      <c r="N102">
        <f t="shared" si="4"/>
        <v>-1.3503190654612498E-2</v>
      </c>
      <c r="O102">
        <f t="shared" si="5"/>
        <v>-1.0966891029151963E-4</v>
      </c>
    </row>
    <row r="103" spans="1:15" x14ac:dyDescent="0.2">
      <c r="A103">
        <v>102</v>
      </c>
      <c r="B103" t="s">
        <v>1846</v>
      </c>
      <c r="C103" t="s">
        <v>1847</v>
      </c>
      <c r="D103">
        <v>2744</v>
      </c>
      <c r="E103" t="s">
        <v>360</v>
      </c>
      <c r="F103" t="s">
        <v>1840</v>
      </c>
      <c r="G103" t="s">
        <v>1841</v>
      </c>
      <c r="H103">
        <v>111149</v>
      </c>
      <c r="I103">
        <v>411</v>
      </c>
      <c r="J103">
        <v>24.258503099999999</v>
      </c>
      <c r="K103">
        <v>72.1906721</v>
      </c>
      <c r="L103">
        <v>144.57685849999999</v>
      </c>
      <c r="M103">
        <f t="shared" si="3"/>
        <v>845.94394807453068</v>
      </c>
      <c r="N103">
        <f t="shared" si="4"/>
        <v>5.3774796076668839E-3</v>
      </c>
      <c r="O103">
        <f t="shared" si="5"/>
        <v>1.0490138398810731E-4</v>
      </c>
    </row>
    <row r="104" spans="1:15" x14ac:dyDescent="0.2">
      <c r="A104">
        <v>103</v>
      </c>
      <c r="B104" t="s">
        <v>1848</v>
      </c>
      <c r="C104" t="s">
        <v>1844</v>
      </c>
      <c r="D104">
        <v>2836</v>
      </c>
      <c r="E104" t="s">
        <v>360</v>
      </c>
      <c r="F104" t="s">
        <v>1840</v>
      </c>
      <c r="G104" t="s">
        <v>1841</v>
      </c>
      <c r="H104">
        <v>247992</v>
      </c>
      <c r="I104">
        <v>181</v>
      </c>
      <c r="J104">
        <v>23.075296999999999</v>
      </c>
      <c r="K104">
        <v>70.133673000000002</v>
      </c>
      <c r="L104">
        <v>18.43569565</v>
      </c>
      <c r="M104">
        <f t="shared" si="3"/>
        <v>1092.1532400655522</v>
      </c>
      <c r="N104">
        <f t="shared" si="4"/>
        <v>1.571497660343877E-2</v>
      </c>
      <c r="O104">
        <f t="shared" si="5"/>
        <v>8.2100359660580117E-5</v>
      </c>
    </row>
    <row r="105" spans="1:15" x14ac:dyDescent="0.2">
      <c r="A105">
        <v>104</v>
      </c>
      <c r="B105" t="s">
        <v>382</v>
      </c>
      <c r="C105" t="s">
        <v>382</v>
      </c>
      <c r="D105">
        <v>2712</v>
      </c>
      <c r="E105" t="s">
        <v>360</v>
      </c>
      <c r="F105" t="s">
        <v>1840</v>
      </c>
      <c r="G105" t="s">
        <v>1841</v>
      </c>
      <c r="H105">
        <v>206167</v>
      </c>
      <c r="I105">
        <v>208</v>
      </c>
      <c r="J105">
        <v>23.2156354</v>
      </c>
      <c r="K105">
        <v>72.636941500000006</v>
      </c>
      <c r="L105">
        <v>78.927215579999995</v>
      </c>
      <c r="M105">
        <f t="shared" si="3"/>
        <v>889.40742697448411</v>
      </c>
      <c r="N105">
        <f t="shared" si="4"/>
        <v>1.2495972357468122E-2</v>
      </c>
      <c r="O105">
        <f t="shared" si="5"/>
        <v>1.0061135505700504E-4</v>
      </c>
    </row>
    <row r="106" spans="1:15" x14ac:dyDescent="0.2">
      <c r="A106">
        <v>105</v>
      </c>
      <c r="B106" t="s">
        <v>1849</v>
      </c>
      <c r="C106" t="s">
        <v>1850</v>
      </c>
      <c r="D106">
        <v>2672</v>
      </c>
      <c r="E106" t="s">
        <v>360</v>
      </c>
      <c r="F106" t="s">
        <v>1840</v>
      </c>
      <c r="G106" t="s">
        <v>1841</v>
      </c>
      <c r="H106">
        <v>143644</v>
      </c>
      <c r="I106">
        <v>313</v>
      </c>
      <c r="J106">
        <v>22.778804399999999</v>
      </c>
      <c r="K106">
        <v>73.614279499999995</v>
      </c>
      <c r="L106">
        <v>126.504921</v>
      </c>
      <c r="M106">
        <f t="shared" si="3"/>
        <v>860.03343633402153</v>
      </c>
      <c r="N106">
        <f t="shared" si="4"/>
        <v>7.3906894912064217E-3</v>
      </c>
      <c r="O106">
        <f t="shared" si="5"/>
        <v>1.0359907029332083E-4</v>
      </c>
    </row>
    <row r="107" spans="1:15" x14ac:dyDescent="0.2">
      <c r="A107">
        <v>106</v>
      </c>
      <c r="B107" t="s">
        <v>1851</v>
      </c>
      <c r="C107" t="s">
        <v>413</v>
      </c>
      <c r="D107">
        <v>2825</v>
      </c>
      <c r="E107" t="s">
        <v>360</v>
      </c>
      <c r="F107" t="s">
        <v>1840</v>
      </c>
      <c r="G107" t="s">
        <v>1841</v>
      </c>
      <c r="H107">
        <v>112197</v>
      </c>
      <c r="I107">
        <v>407</v>
      </c>
      <c r="J107">
        <v>21.961946300000001</v>
      </c>
      <c r="K107">
        <v>70.792297000000005</v>
      </c>
      <c r="L107">
        <v>140.09860230000001</v>
      </c>
      <c r="M107">
        <f t="shared" si="3"/>
        <v>1121.9924771002616</v>
      </c>
      <c r="N107">
        <f t="shared" si="4"/>
        <v>4.4535699231372629E-3</v>
      </c>
      <c r="O107">
        <f t="shared" si="5"/>
        <v>7.9192616632720156E-5</v>
      </c>
    </row>
    <row r="108" spans="1:15" x14ac:dyDescent="0.2">
      <c r="A108">
        <v>107</v>
      </c>
      <c r="B108" t="s">
        <v>385</v>
      </c>
      <c r="C108" t="s">
        <v>385</v>
      </c>
      <c r="D108">
        <v>288</v>
      </c>
      <c r="E108" t="s">
        <v>360</v>
      </c>
      <c r="F108" t="s">
        <v>1840</v>
      </c>
      <c r="G108" t="s">
        <v>1841</v>
      </c>
      <c r="H108">
        <v>479920</v>
      </c>
      <c r="I108">
        <v>95</v>
      </c>
      <c r="J108">
        <v>22.470701900000002</v>
      </c>
      <c r="K108">
        <v>70.057730000000006</v>
      </c>
      <c r="L108">
        <v>21.023866649999999</v>
      </c>
      <c r="M108">
        <f t="shared" si="3"/>
        <v>1140.2401752990413</v>
      </c>
      <c r="N108">
        <f t="shared" si="4"/>
        <v>1.4825249873840518E-2</v>
      </c>
      <c r="O108">
        <f t="shared" si="5"/>
        <v>7.8633488599256571E-5</v>
      </c>
    </row>
    <row r="109" spans="1:15" x14ac:dyDescent="0.2">
      <c r="A109">
        <v>108</v>
      </c>
      <c r="B109" t="s">
        <v>1852</v>
      </c>
      <c r="C109" t="s">
        <v>413</v>
      </c>
      <c r="D109">
        <v>2823</v>
      </c>
      <c r="E109" t="s">
        <v>360</v>
      </c>
      <c r="F109" t="s">
        <v>1840</v>
      </c>
      <c r="G109" t="s">
        <v>1841</v>
      </c>
      <c r="H109">
        <v>118302</v>
      </c>
      <c r="I109">
        <v>380</v>
      </c>
      <c r="J109">
        <v>21.761778</v>
      </c>
      <c r="K109">
        <v>70.621100999999996</v>
      </c>
      <c r="L109">
        <v>85.680931090000001</v>
      </c>
      <c r="M109">
        <f t="shared" si="3"/>
        <v>1150.1863343784316</v>
      </c>
      <c r="N109">
        <f t="shared" si="4"/>
        <v>9.0756069334114557E-3</v>
      </c>
      <c r="O109">
        <f t="shared" si="5"/>
        <v>7.7770994504891357E-5</v>
      </c>
    </row>
    <row r="110" spans="1:15" x14ac:dyDescent="0.2">
      <c r="A110">
        <v>109</v>
      </c>
      <c r="B110" t="s">
        <v>348</v>
      </c>
      <c r="C110" t="s">
        <v>348</v>
      </c>
      <c r="D110">
        <v>285</v>
      </c>
      <c r="E110" t="s">
        <v>360</v>
      </c>
      <c r="F110" t="s">
        <v>1840</v>
      </c>
      <c r="G110" t="s">
        <v>1841</v>
      </c>
      <c r="H110">
        <v>319462</v>
      </c>
      <c r="I110">
        <v>139</v>
      </c>
      <c r="J110">
        <v>21.522183999999999</v>
      </c>
      <c r="K110">
        <v>70.457876799999994</v>
      </c>
      <c r="L110">
        <v>90.034408569999997</v>
      </c>
      <c r="M110">
        <f t="shared" si="3"/>
        <v>1180.91673576367</v>
      </c>
      <c r="N110">
        <f t="shared" si="4"/>
        <v>8.4707846201630098E-3</v>
      </c>
      <c r="O110">
        <f t="shared" si="5"/>
        <v>7.5726973030416439E-5</v>
      </c>
    </row>
    <row r="111" spans="1:15" x14ac:dyDescent="0.2">
      <c r="A111">
        <v>110</v>
      </c>
      <c r="B111" t="s">
        <v>1853</v>
      </c>
      <c r="C111" t="s">
        <v>382</v>
      </c>
      <c r="D111">
        <v>2764</v>
      </c>
      <c r="E111" t="s">
        <v>360</v>
      </c>
      <c r="F111" t="s">
        <v>1840</v>
      </c>
      <c r="G111" t="s">
        <v>1841</v>
      </c>
      <c r="H111">
        <v>113153</v>
      </c>
      <c r="I111">
        <v>404</v>
      </c>
      <c r="J111">
        <v>23.246389499999999</v>
      </c>
      <c r="K111">
        <v>72.508651299999997</v>
      </c>
      <c r="L111">
        <v>69.385643009999995</v>
      </c>
      <c r="M111">
        <f t="shared" si="3"/>
        <v>896.22498040207472</v>
      </c>
      <c r="N111">
        <f t="shared" si="4"/>
        <v>1.3465556241900153E-2</v>
      </c>
      <c r="O111">
        <f t="shared" si="5"/>
        <v>9.9891483709077929E-5</v>
      </c>
    </row>
    <row r="112" spans="1:15" x14ac:dyDescent="0.2">
      <c r="A112">
        <v>111</v>
      </c>
      <c r="B112" t="s">
        <v>1854</v>
      </c>
      <c r="C112" t="s">
        <v>367</v>
      </c>
      <c r="D112">
        <v>2698</v>
      </c>
      <c r="E112" t="s">
        <v>360</v>
      </c>
      <c r="F112" t="s">
        <v>1840</v>
      </c>
      <c r="G112" t="s">
        <v>1841</v>
      </c>
      <c r="H112">
        <v>183830</v>
      </c>
      <c r="I112">
        <v>237</v>
      </c>
      <c r="J112">
        <v>22.316748</v>
      </c>
      <c r="K112">
        <v>72.624144000000001</v>
      </c>
      <c r="L112">
        <v>17.96876717</v>
      </c>
      <c r="M112">
        <f t="shared" si="3"/>
        <v>964.09980388875294</v>
      </c>
      <c r="N112">
        <f t="shared" si="4"/>
        <v>1.7850699059975994E-2</v>
      </c>
      <c r="O112">
        <f t="shared" si="5"/>
        <v>9.300601364183603E-5</v>
      </c>
    </row>
    <row r="113" spans="1:15" x14ac:dyDescent="0.2">
      <c r="A113">
        <v>112</v>
      </c>
      <c r="B113" t="s">
        <v>1855</v>
      </c>
      <c r="C113" t="s">
        <v>376</v>
      </c>
      <c r="D113">
        <v>2844</v>
      </c>
      <c r="E113" t="s">
        <v>360</v>
      </c>
      <c r="F113" t="s">
        <v>1840</v>
      </c>
      <c r="G113" t="s">
        <v>1841</v>
      </c>
      <c r="H113">
        <v>98519</v>
      </c>
      <c r="I113">
        <v>471</v>
      </c>
      <c r="J113">
        <v>21.090219300000001</v>
      </c>
      <c r="K113">
        <v>71.756316900000002</v>
      </c>
      <c r="L113">
        <v>15.56348133</v>
      </c>
      <c r="M113">
        <f t="shared" si="3"/>
        <v>1126.2948455221965</v>
      </c>
      <c r="N113">
        <f t="shared" si="4"/>
        <v>1.5493619735877675E-2</v>
      </c>
      <c r="O113">
        <f t="shared" si="5"/>
        <v>7.9616513029996271E-5</v>
      </c>
    </row>
    <row r="114" spans="1:15" x14ac:dyDescent="0.2">
      <c r="A114">
        <v>113</v>
      </c>
      <c r="B114" t="s">
        <v>1856</v>
      </c>
      <c r="C114" t="s">
        <v>1856</v>
      </c>
      <c r="D114">
        <v>2762</v>
      </c>
      <c r="E114" t="s">
        <v>360</v>
      </c>
      <c r="F114" t="s">
        <v>1840</v>
      </c>
      <c r="G114" t="s">
        <v>1841</v>
      </c>
      <c r="H114">
        <v>84133</v>
      </c>
      <c r="I114">
        <v>522</v>
      </c>
      <c r="J114">
        <v>23.5879607</v>
      </c>
      <c r="K114">
        <v>72.369325200000006</v>
      </c>
      <c r="L114">
        <v>82.830505369999997</v>
      </c>
      <c r="M114">
        <f t="shared" si="3"/>
        <v>880.29174706196284</v>
      </c>
      <c r="N114">
        <f t="shared" si="4"/>
        <v>1.218196317163152E-2</v>
      </c>
      <c r="O114">
        <f t="shared" si="5"/>
        <v>1.0163190070257367E-4</v>
      </c>
    </row>
    <row r="115" spans="1:15" x14ac:dyDescent="0.2">
      <c r="A115">
        <v>114</v>
      </c>
      <c r="B115" t="s">
        <v>1857</v>
      </c>
      <c r="C115" t="s">
        <v>1857</v>
      </c>
      <c r="D115">
        <v>2822</v>
      </c>
      <c r="E115" t="s">
        <v>360</v>
      </c>
      <c r="F115" t="s">
        <v>1840</v>
      </c>
      <c r="G115" t="s">
        <v>1841</v>
      </c>
      <c r="H115">
        <v>194947</v>
      </c>
      <c r="I115">
        <v>225</v>
      </c>
      <c r="J115">
        <v>22.811989499999999</v>
      </c>
      <c r="K115">
        <v>70.823619500000007</v>
      </c>
      <c r="L115">
        <v>49.094318389999998</v>
      </c>
      <c r="M115">
        <f t="shared" si="3"/>
        <v>1055.7461474622171</v>
      </c>
      <c r="N115">
        <f t="shared" si="4"/>
        <v>1.335292615074829E-2</v>
      </c>
      <c r="O115">
        <f t="shared" si="5"/>
        <v>8.4862801695854344E-5</v>
      </c>
    </row>
    <row r="116" spans="1:15" x14ac:dyDescent="0.2">
      <c r="A116">
        <v>115</v>
      </c>
      <c r="B116" t="s">
        <v>1858</v>
      </c>
      <c r="C116" t="s">
        <v>393</v>
      </c>
      <c r="D116">
        <v>268</v>
      </c>
      <c r="E116" t="s">
        <v>360</v>
      </c>
      <c r="F116" t="s">
        <v>1840</v>
      </c>
      <c r="G116" t="s">
        <v>1841</v>
      </c>
      <c r="H116">
        <v>218095</v>
      </c>
      <c r="I116">
        <v>200</v>
      </c>
      <c r="J116">
        <v>22.6915853</v>
      </c>
      <c r="K116">
        <v>72.863363500000006</v>
      </c>
      <c r="L116">
        <v>36.001167299999999</v>
      </c>
      <c r="M116">
        <f t="shared" si="3"/>
        <v>916.47596309906703</v>
      </c>
      <c r="N116">
        <f t="shared" si="4"/>
        <v>1.6810714159815467E-2</v>
      </c>
      <c r="O116">
        <f t="shared" si="5"/>
        <v>9.7796470469164315E-5</v>
      </c>
    </row>
    <row r="117" spans="1:15" x14ac:dyDescent="0.2">
      <c r="A117">
        <v>116</v>
      </c>
      <c r="B117" t="s">
        <v>401</v>
      </c>
      <c r="C117" t="s">
        <v>401</v>
      </c>
      <c r="D117">
        <v>2637</v>
      </c>
      <c r="E117" t="s">
        <v>360</v>
      </c>
      <c r="F117" t="s">
        <v>1840</v>
      </c>
      <c r="G117" t="s">
        <v>1841</v>
      </c>
      <c r="H117">
        <v>160941</v>
      </c>
      <c r="I117">
        <v>274</v>
      </c>
      <c r="J117">
        <v>20.946701900000001</v>
      </c>
      <c r="K117">
        <v>72.952034800000007</v>
      </c>
      <c r="L117">
        <v>15.55265999</v>
      </c>
      <c r="M117">
        <f t="shared" si="3"/>
        <v>1065.2774311370863</v>
      </c>
      <c r="N117">
        <f t="shared" si="4"/>
        <v>1.6382085709233656E-2</v>
      </c>
      <c r="O117">
        <f t="shared" si="5"/>
        <v>8.4176840681994628E-5</v>
      </c>
    </row>
    <row r="118" spans="1:15" x14ac:dyDescent="0.2">
      <c r="A118">
        <v>117</v>
      </c>
      <c r="B118" t="s">
        <v>1859</v>
      </c>
      <c r="C118" t="s">
        <v>1859</v>
      </c>
      <c r="D118">
        <v>2742</v>
      </c>
      <c r="E118" t="s">
        <v>360</v>
      </c>
      <c r="F118" t="s">
        <v>1840</v>
      </c>
      <c r="G118" t="s">
        <v>1841</v>
      </c>
      <c r="H118">
        <v>122344</v>
      </c>
      <c r="I118">
        <v>368</v>
      </c>
      <c r="J118">
        <v>24.174050999999999</v>
      </c>
      <c r="K118">
        <v>72.433098900000005</v>
      </c>
      <c r="L118">
        <v>218.0046692</v>
      </c>
      <c r="M118">
        <f t="shared" si="3"/>
        <v>832.64590405869967</v>
      </c>
      <c r="N118">
        <f t="shared" si="4"/>
        <v>-3.3552494840628521E-3</v>
      </c>
      <c r="O118">
        <f t="shared" si="5"/>
        <v>-1.0562714346683318E-4</v>
      </c>
    </row>
    <row r="119" spans="1:15" x14ac:dyDescent="0.2">
      <c r="A119">
        <v>118</v>
      </c>
      <c r="B119" t="s">
        <v>407</v>
      </c>
      <c r="C119" t="s">
        <v>407</v>
      </c>
      <c r="D119">
        <v>2766</v>
      </c>
      <c r="E119" t="s">
        <v>360</v>
      </c>
      <c r="F119" t="s">
        <v>1840</v>
      </c>
      <c r="G119" t="s">
        <v>1841</v>
      </c>
      <c r="H119">
        <v>125497</v>
      </c>
      <c r="I119">
        <v>364</v>
      </c>
      <c r="J119">
        <v>23.849324599999999</v>
      </c>
      <c r="K119">
        <v>72.126625500000003</v>
      </c>
      <c r="L119">
        <v>83.894134519999994</v>
      </c>
      <c r="M119">
        <f t="shared" si="3"/>
        <v>879.67406919866085</v>
      </c>
      <c r="N119">
        <f t="shared" si="4"/>
        <v>1.2069605209201912E-2</v>
      </c>
      <c r="O119">
        <f t="shared" si="5"/>
        <v>1.0169717917235507E-4</v>
      </c>
    </row>
    <row r="120" spans="1:15" x14ac:dyDescent="0.2">
      <c r="A120">
        <v>119</v>
      </c>
      <c r="B120" t="s">
        <v>410</v>
      </c>
      <c r="C120" t="s">
        <v>410</v>
      </c>
      <c r="D120">
        <v>286</v>
      </c>
      <c r="E120" t="s">
        <v>360</v>
      </c>
      <c r="F120" t="s">
        <v>1840</v>
      </c>
      <c r="G120" t="s">
        <v>1841</v>
      </c>
      <c r="H120">
        <v>151770</v>
      </c>
      <c r="I120">
        <v>293</v>
      </c>
      <c r="J120">
        <v>21.641706899999999</v>
      </c>
      <c r="K120">
        <v>69.629265399999994</v>
      </c>
      <c r="L120">
        <v>7.0720038409999999</v>
      </c>
      <c r="M120">
        <f t="shared" si="3"/>
        <v>1234.0085220049539</v>
      </c>
      <c r="N120">
        <f t="shared" si="4"/>
        <v>1.4829339886703423E-2</v>
      </c>
      <c r="O120">
        <f t="shared" si="5"/>
        <v>7.2679322561620507E-5</v>
      </c>
    </row>
    <row r="121" spans="1:15" x14ac:dyDescent="0.2">
      <c r="A121">
        <v>120</v>
      </c>
      <c r="B121" t="s">
        <v>413</v>
      </c>
      <c r="C121" t="s">
        <v>413</v>
      </c>
      <c r="D121">
        <v>281</v>
      </c>
      <c r="E121" t="s">
        <v>360</v>
      </c>
      <c r="F121" t="s">
        <v>1840</v>
      </c>
      <c r="G121" t="s">
        <v>1841</v>
      </c>
      <c r="H121">
        <v>1286678</v>
      </c>
      <c r="I121">
        <v>30</v>
      </c>
      <c r="J121">
        <v>22.303894499999998</v>
      </c>
      <c r="K121">
        <v>70.802159900000007</v>
      </c>
      <c r="L121">
        <v>128.64697269999999</v>
      </c>
      <c r="M121">
        <f t="shared" si="3"/>
        <v>1095.0511110637617</v>
      </c>
      <c r="N121">
        <f t="shared" si="4"/>
        <v>5.6089024959149773E-3</v>
      </c>
      <c r="O121">
        <f t="shared" si="5"/>
        <v>8.1336144639923785E-5</v>
      </c>
    </row>
    <row r="122" spans="1:15" x14ac:dyDescent="0.2">
      <c r="A122">
        <v>121</v>
      </c>
      <c r="B122" t="s">
        <v>419</v>
      </c>
      <c r="C122" t="s">
        <v>419</v>
      </c>
      <c r="D122">
        <v>261</v>
      </c>
      <c r="E122" t="s">
        <v>360</v>
      </c>
      <c r="F122" t="s">
        <v>1840</v>
      </c>
      <c r="G122" t="s">
        <v>1841</v>
      </c>
      <c r="H122">
        <v>4462002</v>
      </c>
      <c r="I122">
        <v>8</v>
      </c>
      <c r="J122">
        <v>21.170240100000001</v>
      </c>
      <c r="K122">
        <v>72.831060699999995</v>
      </c>
      <c r="L122">
        <v>13.921581270000001</v>
      </c>
      <c r="M122">
        <f t="shared" si="3"/>
        <v>1051.8971944665939</v>
      </c>
      <c r="N122">
        <f t="shared" si="4"/>
        <v>1.6745528123527479E-2</v>
      </c>
      <c r="O122">
        <f t="shared" si="5"/>
        <v>8.5250468501211132E-5</v>
      </c>
    </row>
    <row r="123" spans="1:15" x14ac:dyDescent="0.2">
      <c r="A123">
        <v>122</v>
      </c>
      <c r="B123" t="s">
        <v>422</v>
      </c>
      <c r="C123" t="s">
        <v>422</v>
      </c>
      <c r="D123">
        <v>2752</v>
      </c>
      <c r="E123" t="s">
        <v>360</v>
      </c>
      <c r="F123" t="s">
        <v>1840</v>
      </c>
      <c r="G123" t="s">
        <v>1841</v>
      </c>
      <c r="H123">
        <v>177851</v>
      </c>
      <c r="I123">
        <v>244</v>
      </c>
      <c r="J123">
        <v>22.720131899999998</v>
      </c>
      <c r="K123">
        <v>71.649535999999998</v>
      </c>
      <c r="L123">
        <v>67.79012299</v>
      </c>
      <c r="M123">
        <f t="shared" si="3"/>
        <v>1000.009455370257</v>
      </c>
      <c r="N123">
        <f t="shared" si="4"/>
        <v>1.2227604264474322E-2</v>
      </c>
      <c r="O123">
        <f t="shared" si="5"/>
        <v>8.9530591018530399E-5</v>
      </c>
    </row>
    <row r="124" spans="1:15" x14ac:dyDescent="0.2">
      <c r="A124">
        <v>123</v>
      </c>
      <c r="B124" t="s">
        <v>427</v>
      </c>
      <c r="C124" t="s">
        <v>427</v>
      </c>
      <c r="D124">
        <v>265</v>
      </c>
      <c r="E124" t="s">
        <v>360</v>
      </c>
      <c r="F124" t="s">
        <v>1840</v>
      </c>
      <c r="G124" t="s">
        <v>1841</v>
      </c>
      <c r="H124">
        <v>1670806</v>
      </c>
      <c r="I124">
        <v>23</v>
      </c>
      <c r="J124">
        <v>22.3071588</v>
      </c>
      <c r="K124">
        <v>73.181218700000002</v>
      </c>
      <c r="L124">
        <v>36.884059909999998</v>
      </c>
      <c r="M124">
        <f t="shared" si="3"/>
        <v>928.73634533726852</v>
      </c>
      <c r="N124">
        <f t="shared" si="4"/>
        <v>1.6493729642331575E-2</v>
      </c>
      <c r="O124">
        <f t="shared" si="5"/>
        <v>9.6503137363590128E-5</v>
      </c>
    </row>
    <row r="125" spans="1:15" x14ac:dyDescent="0.2">
      <c r="A125">
        <v>124</v>
      </c>
      <c r="B125" t="s">
        <v>430</v>
      </c>
      <c r="C125" t="s">
        <v>430</v>
      </c>
      <c r="D125">
        <v>2632</v>
      </c>
      <c r="E125" t="s">
        <v>360</v>
      </c>
      <c r="F125" t="s">
        <v>1840</v>
      </c>
      <c r="G125" t="s">
        <v>1841</v>
      </c>
      <c r="H125">
        <v>114636</v>
      </c>
      <c r="I125">
        <v>398</v>
      </c>
      <c r="J125">
        <v>20.599234899999999</v>
      </c>
      <c r="K125">
        <v>72.934245099999998</v>
      </c>
      <c r="L125">
        <v>14.99677181</v>
      </c>
      <c r="M125">
        <f t="shared" si="3"/>
        <v>1098.5746202950525</v>
      </c>
      <c r="N125">
        <f t="shared" si="4"/>
        <v>1.5936154609413784E-2</v>
      </c>
      <c r="O125">
        <f t="shared" si="5"/>
        <v>8.1626436098008556E-5</v>
      </c>
    </row>
    <row r="126" spans="1:15" x14ac:dyDescent="0.2">
      <c r="A126">
        <v>125</v>
      </c>
      <c r="B126" t="s">
        <v>1860</v>
      </c>
      <c r="C126" t="s">
        <v>430</v>
      </c>
      <c r="D126">
        <v>260</v>
      </c>
      <c r="E126" t="s">
        <v>360</v>
      </c>
      <c r="F126" t="s">
        <v>1840</v>
      </c>
      <c r="G126" t="s">
        <v>1841</v>
      </c>
      <c r="H126">
        <v>163630</v>
      </c>
      <c r="I126">
        <v>269</v>
      </c>
      <c r="J126">
        <v>20.389315499999999</v>
      </c>
      <c r="K126">
        <v>72.910620199999997</v>
      </c>
      <c r="L126">
        <v>25.619831090000002</v>
      </c>
      <c r="M126">
        <f t="shared" si="3"/>
        <v>1119.5752973869314</v>
      </c>
      <c r="N126">
        <f t="shared" si="4"/>
        <v>1.4688381486606348E-2</v>
      </c>
      <c r="O126">
        <f t="shared" si="5"/>
        <v>8.0076427800005094E-5</v>
      </c>
    </row>
    <row r="127" spans="1:15" x14ac:dyDescent="0.2">
      <c r="A127">
        <v>126</v>
      </c>
      <c r="B127" t="s">
        <v>1861</v>
      </c>
      <c r="C127" t="s">
        <v>1862</v>
      </c>
      <c r="D127">
        <v>2876</v>
      </c>
      <c r="E127" t="s">
        <v>360</v>
      </c>
      <c r="F127" t="s">
        <v>1840</v>
      </c>
      <c r="G127" t="s">
        <v>1841</v>
      </c>
      <c r="H127">
        <v>154636</v>
      </c>
      <c r="I127">
        <v>285</v>
      </c>
      <c r="J127">
        <v>20.914239999999999</v>
      </c>
      <c r="K127">
        <v>70.361099999999993</v>
      </c>
      <c r="L127">
        <v>8</v>
      </c>
      <c r="M127">
        <f t="shared" si="3"/>
        <v>1236.4148056840684</v>
      </c>
      <c r="N127">
        <f t="shared" si="4"/>
        <v>1.4725423940492853E-2</v>
      </c>
      <c r="O127">
        <f t="shared" si="5"/>
        <v>7.253658495731876E-5</v>
      </c>
    </row>
    <row r="128" spans="1:15" x14ac:dyDescent="0.2">
      <c r="A128">
        <v>127</v>
      </c>
      <c r="B128" t="s">
        <v>433</v>
      </c>
      <c r="C128" t="s">
        <v>433</v>
      </c>
      <c r="D128">
        <v>171</v>
      </c>
      <c r="E128" t="s">
        <v>432</v>
      </c>
      <c r="F128" t="s">
        <v>1863</v>
      </c>
      <c r="G128" t="s">
        <v>1864</v>
      </c>
      <c r="H128">
        <v>407934</v>
      </c>
      <c r="I128">
        <v>112</v>
      </c>
      <c r="J128">
        <v>30.378178800000001</v>
      </c>
      <c r="K128">
        <v>76.776697400000003</v>
      </c>
      <c r="L128">
        <v>274.35653689999998</v>
      </c>
      <c r="M128">
        <f t="shared" si="3"/>
        <v>280.12680556917331</v>
      </c>
      <c r="N128">
        <f t="shared" si="4"/>
        <v>-3.0089664189307995E-2</v>
      </c>
      <c r="O128">
        <f t="shared" si="5"/>
        <v>-3.1885659605745492E-4</v>
      </c>
    </row>
    <row r="129" spans="1:15" x14ac:dyDescent="0.2">
      <c r="A129">
        <v>128</v>
      </c>
      <c r="B129" t="s">
        <v>1865</v>
      </c>
      <c r="C129" t="s">
        <v>451</v>
      </c>
      <c r="D129">
        <v>1276</v>
      </c>
      <c r="E129" t="s">
        <v>432</v>
      </c>
      <c r="F129" t="s">
        <v>1863</v>
      </c>
      <c r="G129" t="s">
        <v>1864</v>
      </c>
      <c r="H129">
        <v>170426</v>
      </c>
      <c r="I129">
        <v>255</v>
      </c>
      <c r="J129">
        <v>28.692446400000001</v>
      </c>
      <c r="K129">
        <v>76.923972699999993</v>
      </c>
      <c r="L129">
        <v>219.20571899999999</v>
      </c>
      <c r="M129">
        <f t="shared" si="3"/>
        <v>205.11746161034844</v>
      </c>
      <c r="N129">
        <f t="shared" si="4"/>
        <v>-1.4205712654221886E-2</v>
      </c>
      <c r="O129">
        <f t="shared" si="5"/>
        <v>-4.2919036813710102E-4</v>
      </c>
    </row>
    <row r="130" spans="1:15" x14ac:dyDescent="0.2">
      <c r="A130">
        <v>129</v>
      </c>
      <c r="B130" t="s">
        <v>436</v>
      </c>
      <c r="C130" t="s">
        <v>436</v>
      </c>
      <c r="D130">
        <v>1664</v>
      </c>
      <c r="E130" t="s">
        <v>432</v>
      </c>
      <c r="F130" t="s">
        <v>1863</v>
      </c>
      <c r="G130" t="s">
        <v>1864</v>
      </c>
      <c r="H130">
        <v>197662</v>
      </c>
      <c r="I130">
        <v>220</v>
      </c>
      <c r="J130">
        <v>28.799044500000001</v>
      </c>
      <c r="K130">
        <v>76.133511200000001</v>
      </c>
      <c r="L130">
        <v>218.65113830000001</v>
      </c>
      <c r="M130">
        <f t="shared" si="3"/>
        <v>281.75532124360086</v>
      </c>
      <c r="N130">
        <f t="shared" si="4"/>
        <v>-1.0144907423163423E-2</v>
      </c>
      <c r="O130">
        <f t="shared" si="5"/>
        <v>-3.1231471908116511E-4</v>
      </c>
    </row>
    <row r="131" spans="1:15" x14ac:dyDescent="0.2">
      <c r="A131">
        <v>130</v>
      </c>
      <c r="B131" t="s">
        <v>439</v>
      </c>
      <c r="C131" t="s">
        <v>439</v>
      </c>
      <c r="D131">
        <v>129</v>
      </c>
      <c r="E131" t="s">
        <v>432</v>
      </c>
      <c r="F131" t="s">
        <v>1863</v>
      </c>
      <c r="G131" t="s">
        <v>1864</v>
      </c>
      <c r="H131">
        <v>1404653</v>
      </c>
      <c r="I131">
        <v>28</v>
      </c>
      <c r="J131">
        <v>28.408912300000001</v>
      </c>
      <c r="K131">
        <v>77.317789399999995</v>
      </c>
      <c r="L131">
        <v>205.29257200000001</v>
      </c>
      <c r="M131">
        <f t="shared" ref="M131:M194" si="6">2*6371*ASIN(SQRT(
    SIN(RADIANS(J131-$V$6)/2)^2 +
    COS(RADIANS($V$6)) * COS(RADIANS(J131)) *
    SIN(RADIANS(K131-$V$7)/2)^2
))</f>
        <v>171.94855343389855</v>
      </c>
      <c r="N131">
        <f t="shared" ref="N131:N194" si="7">($V$5-L131)/(M131*1000)*100</f>
        <v>-8.8545381138393706E-3</v>
      </c>
      <c r="O131">
        <f t="shared" ref="O131:O194" si="8">DEGREES(ATAN($V$5-L131)/(M131*1000))</f>
        <v>-5.0155809948317792E-4</v>
      </c>
    </row>
    <row r="132" spans="1:15" x14ac:dyDescent="0.2">
      <c r="A132">
        <v>131</v>
      </c>
      <c r="B132" t="s">
        <v>445</v>
      </c>
      <c r="C132" t="s">
        <v>445</v>
      </c>
      <c r="D132">
        <v>124</v>
      </c>
      <c r="E132" t="s">
        <v>432</v>
      </c>
      <c r="F132" t="s">
        <v>1863</v>
      </c>
      <c r="G132" t="s">
        <v>1864</v>
      </c>
      <c r="H132">
        <v>901968</v>
      </c>
      <c r="I132">
        <v>54</v>
      </c>
      <c r="J132">
        <v>28.4594965</v>
      </c>
      <c r="K132">
        <v>77.026638300000002</v>
      </c>
      <c r="L132">
        <v>228.02517700000001</v>
      </c>
      <c r="M132">
        <f t="shared" si="6"/>
        <v>198.45953080804074</v>
      </c>
      <c r="N132">
        <f t="shared" si="7"/>
        <v>-1.9126244552454683E-2</v>
      </c>
      <c r="O132">
        <f t="shared" si="8"/>
        <v>-4.4588884666243891E-4</v>
      </c>
    </row>
    <row r="133" spans="1:15" x14ac:dyDescent="0.2">
      <c r="A133">
        <v>132</v>
      </c>
      <c r="B133" t="s">
        <v>448</v>
      </c>
      <c r="C133" t="s">
        <v>448</v>
      </c>
      <c r="D133">
        <v>1662</v>
      </c>
      <c r="E133" t="s">
        <v>432</v>
      </c>
      <c r="F133" t="s">
        <v>1863</v>
      </c>
      <c r="G133" t="s">
        <v>1864</v>
      </c>
      <c r="H133">
        <v>306893</v>
      </c>
      <c r="I133">
        <v>145</v>
      </c>
      <c r="J133">
        <v>29.1491875</v>
      </c>
      <c r="K133">
        <v>75.721652700000007</v>
      </c>
      <c r="L133">
        <v>212.78480529999999</v>
      </c>
      <c r="M133">
        <f t="shared" si="6"/>
        <v>323.82283993123241</v>
      </c>
      <c r="N133">
        <f t="shared" si="7"/>
        <v>-7.0154049371021245E-3</v>
      </c>
      <c r="O133">
        <f t="shared" si="8"/>
        <v>-2.701462518611601E-4</v>
      </c>
    </row>
    <row r="134" spans="1:15" x14ac:dyDescent="0.2">
      <c r="A134">
        <v>133</v>
      </c>
      <c r="B134" t="s">
        <v>454</v>
      </c>
      <c r="C134" t="s">
        <v>454</v>
      </c>
      <c r="D134">
        <v>1681</v>
      </c>
      <c r="E134" t="s">
        <v>432</v>
      </c>
      <c r="F134" t="s">
        <v>1863</v>
      </c>
      <c r="G134" t="s">
        <v>1864</v>
      </c>
      <c r="H134">
        <v>166225</v>
      </c>
      <c r="I134">
        <v>262</v>
      </c>
      <c r="J134">
        <v>29.321115299999999</v>
      </c>
      <c r="K134">
        <v>76.305832800000005</v>
      </c>
      <c r="L134">
        <v>225</v>
      </c>
      <c r="M134">
        <f t="shared" si="6"/>
        <v>270.8289422992238</v>
      </c>
      <c r="N134">
        <f t="shared" si="7"/>
        <v>-1.2898428765934783E-2</v>
      </c>
      <c r="O134">
        <f t="shared" si="8"/>
        <v>-3.2625859680505081E-4</v>
      </c>
    </row>
    <row r="135" spans="1:15" x14ac:dyDescent="0.2">
      <c r="A135">
        <v>134</v>
      </c>
      <c r="B135" t="s">
        <v>457</v>
      </c>
      <c r="C135" t="s">
        <v>457</v>
      </c>
      <c r="D135">
        <v>1746</v>
      </c>
      <c r="E135" t="s">
        <v>432</v>
      </c>
      <c r="F135" t="s">
        <v>1863</v>
      </c>
      <c r="G135" t="s">
        <v>1864</v>
      </c>
      <c r="H135">
        <v>144633</v>
      </c>
      <c r="I135">
        <v>311</v>
      </c>
      <c r="J135">
        <v>29.7856734</v>
      </c>
      <c r="K135">
        <v>76.398453700000005</v>
      </c>
      <c r="L135">
        <v>234.58242799999999</v>
      </c>
      <c r="M135">
        <f t="shared" si="6"/>
        <v>277.76252656131612</v>
      </c>
      <c r="N135">
        <f t="shared" si="7"/>
        <v>-1.6026318147049717E-2</v>
      </c>
      <c r="O135">
        <f t="shared" si="8"/>
        <v>-3.1938472357969077E-4</v>
      </c>
    </row>
    <row r="136" spans="1:15" x14ac:dyDescent="0.2">
      <c r="A136">
        <v>135</v>
      </c>
      <c r="B136" t="s">
        <v>460</v>
      </c>
      <c r="C136" t="s">
        <v>460</v>
      </c>
      <c r="D136">
        <v>184</v>
      </c>
      <c r="E136" t="s">
        <v>432</v>
      </c>
      <c r="F136" t="s">
        <v>1863</v>
      </c>
      <c r="G136" t="s">
        <v>1864</v>
      </c>
      <c r="H136">
        <v>303425</v>
      </c>
      <c r="I136">
        <v>151</v>
      </c>
      <c r="J136">
        <v>29.685692899999999</v>
      </c>
      <c r="K136">
        <v>76.990482499999999</v>
      </c>
      <c r="L136">
        <v>252.37004089999999</v>
      </c>
      <c r="M136">
        <f t="shared" si="6"/>
        <v>221.13366644365558</v>
      </c>
      <c r="N136">
        <f t="shared" si="7"/>
        <v>-2.8174235113980074E-2</v>
      </c>
      <c r="O136">
        <f t="shared" si="8"/>
        <v>-4.028352855440843E-4</v>
      </c>
    </row>
    <row r="137" spans="1:15" x14ac:dyDescent="0.2">
      <c r="A137">
        <v>136</v>
      </c>
      <c r="B137" t="s">
        <v>1866</v>
      </c>
      <c r="C137" t="s">
        <v>1866</v>
      </c>
      <c r="D137">
        <v>1275</v>
      </c>
      <c r="E137" t="s">
        <v>432</v>
      </c>
      <c r="F137" t="s">
        <v>1863</v>
      </c>
      <c r="G137" t="s">
        <v>1864</v>
      </c>
      <c r="H137">
        <v>131121</v>
      </c>
      <c r="I137">
        <v>346</v>
      </c>
      <c r="J137">
        <v>28.148736199999998</v>
      </c>
      <c r="K137">
        <v>77.332026200000001</v>
      </c>
      <c r="L137">
        <v>197.7573395</v>
      </c>
      <c r="M137">
        <f t="shared" si="6"/>
        <v>180.15676109019981</v>
      </c>
      <c r="N137">
        <f t="shared" si="7"/>
        <v>-4.268514627741229E-3</v>
      </c>
      <c r="O137">
        <f t="shared" si="8"/>
        <v>-4.5843911817614735E-4</v>
      </c>
    </row>
    <row r="138" spans="1:15" x14ac:dyDescent="0.2">
      <c r="A138">
        <v>137</v>
      </c>
      <c r="B138" t="s">
        <v>468</v>
      </c>
      <c r="C138" t="s">
        <v>468</v>
      </c>
      <c r="D138">
        <v>172</v>
      </c>
      <c r="E138" t="s">
        <v>432</v>
      </c>
      <c r="F138" t="s">
        <v>1863</v>
      </c>
      <c r="G138" t="s">
        <v>1864</v>
      </c>
      <c r="H138">
        <v>210175</v>
      </c>
      <c r="I138">
        <v>206</v>
      </c>
      <c r="J138">
        <v>30.694209099999998</v>
      </c>
      <c r="K138">
        <v>76.860564999999994</v>
      </c>
      <c r="L138">
        <v>340.09887700000002</v>
      </c>
      <c r="M138">
        <f t="shared" si="6"/>
        <v>297.52862733881312</v>
      </c>
      <c r="N138">
        <f t="shared" si="7"/>
        <v>-5.0425922554722898E-2</v>
      </c>
      <c r="O138">
        <f t="shared" si="8"/>
        <v>-3.0120837423621907E-4</v>
      </c>
    </row>
    <row r="139" spans="1:15" x14ac:dyDescent="0.2">
      <c r="A139">
        <v>138</v>
      </c>
      <c r="B139" t="s">
        <v>471</v>
      </c>
      <c r="C139" t="s">
        <v>471</v>
      </c>
      <c r="D139">
        <v>180</v>
      </c>
      <c r="E139" t="s">
        <v>432</v>
      </c>
      <c r="F139" t="s">
        <v>1863</v>
      </c>
      <c r="G139" t="s">
        <v>1864</v>
      </c>
      <c r="H139">
        <v>442277</v>
      </c>
      <c r="I139">
        <v>101</v>
      </c>
      <c r="J139">
        <v>29.390946400000001</v>
      </c>
      <c r="K139">
        <v>76.963502300000002</v>
      </c>
      <c r="L139">
        <v>237.8469849</v>
      </c>
      <c r="M139">
        <f t="shared" si="6"/>
        <v>211.17994611982587</v>
      </c>
      <c r="N139">
        <f t="shared" si="7"/>
        <v>-2.2625094843470257E-2</v>
      </c>
      <c r="O139">
        <f t="shared" si="8"/>
        <v>-4.2049924725117609E-4</v>
      </c>
    </row>
    <row r="140" spans="1:15" x14ac:dyDescent="0.2">
      <c r="A140">
        <v>139</v>
      </c>
      <c r="B140" t="s">
        <v>474</v>
      </c>
      <c r="C140" t="s">
        <v>474</v>
      </c>
      <c r="D140">
        <v>1274</v>
      </c>
      <c r="E140" t="s">
        <v>432</v>
      </c>
      <c r="F140" t="s">
        <v>1863</v>
      </c>
      <c r="G140" t="s">
        <v>1864</v>
      </c>
      <c r="H140">
        <v>140864</v>
      </c>
      <c r="I140">
        <v>323</v>
      </c>
      <c r="J140">
        <v>28.192763100000001</v>
      </c>
      <c r="K140">
        <v>76.623942299999996</v>
      </c>
      <c r="L140">
        <v>244.42361450000001</v>
      </c>
      <c r="M140">
        <f t="shared" si="6"/>
        <v>243.83646504676486</v>
      </c>
      <c r="N140">
        <f t="shared" si="7"/>
        <v>-2.2292109873547888E-2</v>
      </c>
      <c r="O140">
        <f t="shared" si="8"/>
        <v>-3.6477743698101913E-4</v>
      </c>
    </row>
    <row r="141" spans="1:15" x14ac:dyDescent="0.2">
      <c r="A141">
        <v>140</v>
      </c>
      <c r="B141" t="s">
        <v>477</v>
      </c>
      <c r="C141" t="s">
        <v>477</v>
      </c>
      <c r="D141">
        <v>1262</v>
      </c>
      <c r="E141" t="s">
        <v>432</v>
      </c>
      <c r="F141" t="s">
        <v>1863</v>
      </c>
      <c r="G141" t="s">
        <v>1864</v>
      </c>
      <c r="H141">
        <v>373133</v>
      </c>
      <c r="I141">
        <v>118</v>
      </c>
      <c r="J141">
        <v>28.895515199999998</v>
      </c>
      <c r="K141">
        <v>76.606611000000001</v>
      </c>
      <c r="L141">
        <v>223.92269899999999</v>
      </c>
      <c r="M141">
        <f t="shared" si="6"/>
        <v>235.8409848748646</v>
      </c>
      <c r="N141">
        <f t="shared" si="7"/>
        <v>-1.4355171226054449E-2</v>
      </c>
      <c r="O141">
        <f t="shared" si="8"/>
        <v>-3.7443925744347605E-4</v>
      </c>
    </row>
    <row r="142" spans="1:15" x14ac:dyDescent="0.2">
      <c r="A142">
        <v>141</v>
      </c>
      <c r="B142" t="s">
        <v>480</v>
      </c>
      <c r="C142" t="s">
        <v>480</v>
      </c>
      <c r="D142">
        <v>1666</v>
      </c>
      <c r="E142" t="s">
        <v>432</v>
      </c>
      <c r="F142" t="s">
        <v>1863</v>
      </c>
      <c r="G142" t="s">
        <v>1864</v>
      </c>
      <c r="H142">
        <v>183282</v>
      </c>
      <c r="I142">
        <v>238</v>
      </c>
      <c r="J142">
        <v>29.533593100000001</v>
      </c>
      <c r="K142">
        <v>75.017702900000003</v>
      </c>
      <c r="L142">
        <v>202.00657649999999</v>
      </c>
      <c r="M142">
        <f t="shared" si="6"/>
        <v>397.78827142700754</v>
      </c>
      <c r="N142">
        <f t="shared" si="7"/>
        <v>-3.0014094325027866E-3</v>
      </c>
      <c r="O142">
        <f t="shared" si="8"/>
        <v>-2.1421504869484188E-4</v>
      </c>
    </row>
    <row r="143" spans="1:15" x14ac:dyDescent="0.2">
      <c r="A143">
        <v>142</v>
      </c>
      <c r="B143" t="s">
        <v>1867</v>
      </c>
      <c r="C143" t="s">
        <v>1867</v>
      </c>
      <c r="D143">
        <v>130</v>
      </c>
      <c r="E143" t="s">
        <v>432</v>
      </c>
      <c r="F143" t="s">
        <v>1863</v>
      </c>
      <c r="G143" t="s">
        <v>1864</v>
      </c>
      <c r="H143">
        <v>292339</v>
      </c>
      <c r="I143">
        <v>156</v>
      </c>
      <c r="J143">
        <v>28.928773499999998</v>
      </c>
      <c r="K143">
        <v>77.091280999999995</v>
      </c>
      <c r="L143">
        <v>225.81318659999999</v>
      </c>
      <c r="M143">
        <f t="shared" si="6"/>
        <v>188.94703025996219</v>
      </c>
      <c r="N143">
        <f t="shared" si="7"/>
        <v>-1.8918458125972742E-2</v>
      </c>
      <c r="O143">
        <f t="shared" si="8"/>
        <v>-4.6784304190357611E-4</v>
      </c>
    </row>
    <row r="144" spans="1:15" x14ac:dyDescent="0.2">
      <c r="A144">
        <v>143</v>
      </c>
      <c r="B144" t="s">
        <v>1868</v>
      </c>
      <c r="C144" t="s">
        <v>463</v>
      </c>
      <c r="D144">
        <v>1744</v>
      </c>
      <c r="E144" t="s">
        <v>432</v>
      </c>
      <c r="F144" t="s">
        <v>1863</v>
      </c>
      <c r="G144" t="s">
        <v>1864</v>
      </c>
      <c r="H144">
        <v>154962</v>
      </c>
      <c r="I144">
        <v>282</v>
      </c>
      <c r="J144">
        <v>29.969614799999999</v>
      </c>
      <c r="K144">
        <v>76.819752199999996</v>
      </c>
      <c r="L144">
        <v>252.9472504</v>
      </c>
      <c r="M144">
        <f t="shared" si="6"/>
        <v>250.75059631628841</v>
      </c>
      <c r="N144">
        <f t="shared" si="7"/>
        <v>-2.5076681580723088E-2</v>
      </c>
      <c r="O144">
        <f t="shared" si="8"/>
        <v>-3.5528881948273746E-4</v>
      </c>
    </row>
    <row r="145" spans="1:15" x14ac:dyDescent="0.2">
      <c r="A145">
        <v>144</v>
      </c>
      <c r="B145" t="s">
        <v>1869</v>
      </c>
      <c r="C145" t="s">
        <v>1869</v>
      </c>
      <c r="D145">
        <v>1732</v>
      </c>
      <c r="E145" t="s">
        <v>432</v>
      </c>
      <c r="F145" t="s">
        <v>1863</v>
      </c>
      <c r="G145" t="s">
        <v>1864</v>
      </c>
      <c r="H145">
        <v>383318</v>
      </c>
      <c r="I145">
        <v>114</v>
      </c>
      <c r="J145">
        <v>30.1290485</v>
      </c>
      <c r="K145">
        <v>77.2673901</v>
      </c>
      <c r="L145">
        <v>278.85849000000002</v>
      </c>
      <c r="M145">
        <f t="shared" si="6"/>
        <v>226.15366615361899</v>
      </c>
      <c r="N145">
        <f t="shared" si="7"/>
        <v>-3.9261432153696332E-2</v>
      </c>
      <c r="O145">
        <f t="shared" si="8"/>
        <v>-3.951063092628581E-4</v>
      </c>
    </row>
    <row r="146" spans="1:15" x14ac:dyDescent="0.2">
      <c r="A146">
        <v>145</v>
      </c>
      <c r="B146" t="s">
        <v>512</v>
      </c>
      <c r="C146" t="s">
        <v>512</v>
      </c>
      <c r="D146">
        <v>177</v>
      </c>
      <c r="E146" t="s">
        <v>489</v>
      </c>
      <c r="F146" t="s">
        <v>1870</v>
      </c>
      <c r="G146" t="s">
        <v>1871</v>
      </c>
      <c r="H146">
        <v>171817</v>
      </c>
      <c r="I146">
        <v>253</v>
      </c>
      <c r="J146">
        <v>31.1048145</v>
      </c>
      <c r="K146">
        <v>77.173403300000004</v>
      </c>
      <c r="L146">
        <v>2196.8842770000001</v>
      </c>
      <c r="M146">
        <f t="shared" si="6"/>
        <v>313.22149338453136</v>
      </c>
      <c r="N146">
        <f t="shared" si="7"/>
        <v>-0.64070218602026119</v>
      </c>
      <c r="O146">
        <f t="shared" si="8"/>
        <v>-2.8724545194652273E-4</v>
      </c>
    </row>
    <row r="147" spans="1:15" x14ac:dyDescent="0.2">
      <c r="A147">
        <v>146</v>
      </c>
      <c r="B147" t="s">
        <v>1872</v>
      </c>
      <c r="C147" t="s">
        <v>1872</v>
      </c>
      <c r="D147">
        <v>1932</v>
      </c>
      <c r="E147" t="s">
        <v>524</v>
      </c>
      <c r="F147" t="s">
        <v>1873</v>
      </c>
      <c r="G147" t="s">
        <v>1874</v>
      </c>
      <c r="H147">
        <v>108505</v>
      </c>
      <c r="I147">
        <v>421</v>
      </c>
      <c r="J147">
        <v>33.704948999999999</v>
      </c>
      <c r="K147">
        <v>75.247873999999996</v>
      </c>
      <c r="L147">
        <v>1669</v>
      </c>
      <c r="M147">
        <f t="shared" si="6"/>
        <v>653.8469709429628</v>
      </c>
      <c r="N147">
        <f t="shared" si="7"/>
        <v>-0.22618942106088186</v>
      </c>
      <c r="O147">
        <f t="shared" si="8"/>
        <v>-1.375876354872747E-4</v>
      </c>
    </row>
    <row r="148" spans="1:15" x14ac:dyDescent="0.2">
      <c r="A148">
        <v>147</v>
      </c>
      <c r="B148" t="s">
        <v>537</v>
      </c>
      <c r="C148" t="s">
        <v>537</v>
      </c>
      <c r="D148">
        <v>191</v>
      </c>
      <c r="E148" t="s">
        <v>524</v>
      </c>
      <c r="F148" t="s">
        <v>1873</v>
      </c>
      <c r="G148" t="s">
        <v>1874</v>
      </c>
      <c r="H148">
        <v>503690</v>
      </c>
      <c r="I148">
        <v>88</v>
      </c>
      <c r="J148">
        <v>32.726601000000002</v>
      </c>
      <c r="K148">
        <v>74.857031000000006</v>
      </c>
      <c r="L148">
        <v>327</v>
      </c>
      <c r="M148">
        <f t="shared" si="6"/>
        <v>591.72597242085544</v>
      </c>
      <c r="N148">
        <f t="shared" si="7"/>
        <v>-2.314123168191929E-2</v>
      </c>
      <c r="O148">
        <f t="shared" si="8"/>
        <v>-1.5139032023542135E-4</v>
      </c>
    </row>
    <row r="149" spans="1:15" x14ac:dyDescent="0.2">
      <c r="A149">
        <v>148</v>
      </c>
      <c r="B149" t="s">
        <v>560</v>
      </c>
      <c r="C149" t="s">
        <v>560</v>
      </c>
      <c r="D149">
        <v>194</v>
      </c>
      <c r="E149" t="s">
        <v>524</v>
      </c>
      <c r="F149" t="s">
        <v>1873</v>
      </c>
      <c r="G149" t="s">
        <v>1874</v>
      </c>
      <c r="H149">
        <v>1192792</v>
      </c>
      <c r="I149">
        <v>35</v>
      </c>
      <c r="J149">
        <v>34.081412999999998</v>
      </c>
      <c r="K149">
        <v>74.807591000000002</v>
      </c>
      <c r="L149">
        <v>1593.1553960000001</v>
      </c>
      <c r="M149">
        <f t="shared" si="6"/>
        <v>711.41809689506943</v>
      </c>
      <c r="N149">
        <f t="shared" si="7"/>
        <v>-0.19722411902700707</v>
      </c>
      <c r="O149">
        <f t="shared" si="8"/>
        <v>-1.2645048659334389E-4</v>
      </c>
    </row>
    <row r="150" spans="1:15" x14ac:dyDescent="0.2">
      <c r="A150">
        <v>149</v>
      </c>
      <c r="B150" t="s">
        <v>1875</v>
      </c>
      <c r="C150" t="s">
        <v>567</v>
      </c>
      <c r="D150">
        <v>6542</v>
      </c>
      <c r="E150" t="s">
        <v>566</v>
      </c>
      <c r="F150" t="s">
        <v>1876</v>
      </c>
      <c r="G150" t="s">
        <v>1877</v>
      </c>
      <c r="H150">
        <v>563417</v>
      </c>
      <c r="I150">
        <v>76</v>
      </c>
      <c r="J150">
        <v>23.669295600000002</v>
      </c>
      <c r="K150">
        <v>86.151111999999998</v>
      </c>
      <c r="L150">
        <v>214.43928529999999</v>
      </c>
      <c r="M150">
        <f t="shared" si="6"/>
        <v>910.30488107621602</v>
      </c>
      <c r="N150">
        <f t="shared" si="7"/>
        <v>-2.6773407466722603E-3</v>
      </c>
      <c r="O150">
        <f t="shared" si="8"/>
        <v>-9.628689333243898E-5</v>
      </c>
    </row>
    <row r="151" spans="1:15" x14ac:dyDescent="0.2">
      <c r="A151">
        <v>150</v>
      </c>
      <c r="B151" t="s">
        <v>1878</v>
      </c>
      <c r="C151" t="s">
        <v>575</v>
      </c>
      <c r="D151">
        <v>6540</v>
      </c>
      <c r="E151" t="s">
        <v>566</v>
      </c>
      <c r="F151" t="s">
        <v>1876</v>
      </c>
      <c r="G151" t="s">
        <v>1877</v>
      </c>
      <c r="H151">
        <v>118822</v>
      </c>
      <c r="I151">
        <v>376</v>
      </c>
      <c r="J151">
        <v>23.747886999999999</v>
      </c>
      <c r="K151">
        <v>86.786876800000002</v>
      </c>
      <c r="L151">
        <v>127.4498215</v>
      </c>
      <c r="M151">
        <f t="shared" si="6"/>
        <v>955.20010792269557</v>
      </c>
      <c r="N151">
        <f t="shared" si="7"/>
        <v>6.5554327078308546E-3</v>
      </c>
      <c r="O151">
        <f t="shared" si="8"/>
        <v>9.3263249022577127E-5</v>
      </c>
    </row>
    <row r="152" spans="1:15" x14ac:dyDescent="0.2">
      <c r="A152">
        <v>151</v>
      </c>
      <c r="B152" t="s">
        <v>572</v>
      </c>
      <c r="C152" t="s">
        <v>572</v>
      </c>
      <c r="D152">
        <v>6432</v>
      </c>
      <c r="E152" t="s">
        <v>566</v>
      </c>
      <c r="F152" t="s">
        <v>1876</v>
      </c>
      <c r="G152" t="s">
        <v>1877</v>
      </c>
      <c r="H152">
        <v>203116</v>
      </c>
      <c r="I152">
        <v>211</v>
      </c>
      <c r="J152">
        <v>24.476320099999999</v>
      </c>
      <c r="K152">
        <v>86.691322200000002</v>
      </c>
      <c r="L152">
        <v>252.3865356</v>
      </c>
      <c r="M152">
        <f t="shared" si="6"/>
        <v>900.00418985589852</v>
      </c>
      <c r="N152">
        <f t="shared" si="7"/>
        <v>-6.9243248534185215E-3</v>
      </c>
      <c r="O152">
        <f t="shared" si="8"/>
        <v>-9.8978080342762581E-5</v>
      </c>
    </row>
    <row r="153" spans="1:15" x14ac:dyDescent="0.2">
      <c r="A153">
        <v>152</v>
      </c>
      <c r="B153" t="s">
        <v>575</v>
      </c>
      <c r="C153" t="s">
        <v>575</v>
      </c>
      <c r="D153">
        <v>326</v>
      </c>
      <c r="E153" t="s">
        <v>566</v>
      </c>
      <c r="F153" t="s">
        <v>1876</v>
      </c>
      <c r="G153" t="s">
        <v>1877</v>
      </c>
      <c r="H153">
        <v>1195298</v>
      </c>
      <c r="I153">
        <v>34</v>
      </c>
      <c r="J153">
        <v>23.795653099999999</v>
      </c>
      <c r="K153">
        <v>86.430385900000005</v>
      </c>
      <c r="L153">
        <v>246.2186279</v>
      </c>
      <c r="M153">
        <f t="shared" si="6"/>
        <v>923.36294688668954</v>
      </c>
      <c r="N153">
        <f t="shared" si="7"/>
        <v>-6.0811738536104163E-3</v>
      </c>
      <c r="O153">
        <f t="shared" si="8"/>
        <v>-9.6364843531350348E-5</v>
      </c>
    </row>
    <row r="154" spans="1:15" x14ac:dyDescent="0.2">
      <c r="A154">
        <v>153</v>
      </c>
      <c r="B154" t="s">
        <v>584</v>
      </c>
      <c r="C154" t="s">
        <v>584</v>
      </c>
      <c r="D154">
        <v>6532</v>
      </c>
      <c r="E154" t="s">
        <v>566</v>
      </c>
      <c r="F154" t="s">
        <v>1876</v>
      </c>
      <c r="G154" t="s">
        <v>1877</v>
      </c>
      <c r="H154">
        <v>143529</v>
      </c>
      <c r="I154">
        <v>314</v>
      </c>
      <c r="J154">
        <v>24.182139100000001</v>
      </c>
      <c r="K154">
        <v>86.286950700000006</v>
      </c>
      <c r="L154">
        <v>280.03359990000001</v>
      </c>
      <c r="M154">
        <f t="shared" si="6"/>
        <v>885.53772939165253</v>
      </c>
      <c r="N154">
        <f t="shared" si="7"/>
        <v>-1.01595081851346E-2</v>
      </c>
      <c r="O154">
        <f t="shared" si="8"/>
        <v>-1.0091401513952138E-4</v>
      </c>
    </row>
    <row r="155" spans="1:15" x14ac:dyDescent="0.2">
      <c r="A155">
        <v>154</v>
      </c>
      <c r="B155" t="s">
        <v>1879</v>
      </c>
      <c r="C155" t="s">
        <v>592</v>
      </c>
      <c r="D155">
        <v>6546</v>
      </c>
      <c r="E155" t="s">
        <v>566</v>
      </c>
      <c r="F155" t="s">
        <v>1876</v>
      </c>
      <c r="G155" t="s">
        <v>1877</v>
      </c>
      <c r="H155">
        <v>153599</v>
      </c>
      <c r="I155">
        <v>290</v>
      </c>
      <c r="J155">
        <v>23.996621300000001</v>
      </c>
      <c r="K155">
        <v>85.369106799999997</v>
      </c>
      <c r="L155">
        <v>619.38726810000003</v>
      </c>
      <c r="M155">
        <f t="shared" si="6"/>
        <v>826.33360505782059</v>
      </c>
      <c r="N155">
        <f t="shared" si="7"/>
        <v>-5.1954796909168363E-2</v>
      </c>
      <c r="O155">
        <f t="shared" si="8"/>
        <v>-1.0875334444513205E-4</v>
      </c>
    </row>
    <row r="156" spans="1:15" x14ac:dyDescent="0.2">
      <c r="A156">
        <v>155</v>
      </c>
      <c r="B156" t="s">
        <v>1880</v>
      </c>
      <c r="C156" t="s">
        <v>1881</v>
      </c>
      <c r="D156">
        <v>657</v>
      </c>
      <c r="E156" t="s">
        <v>566</v>
      </c>
      <c r="F156" t="s">
        <v>1876</v>
      </c>
      <c r="G156" t="s">
        <v>1877</v>
      </c>
      <c r="H156">
        <v>1337131</v>
      </c>
      <c r="I156">
        <v>29</v>
      </c>
      <c r="J156">
        <v>22.8045665</v>
      </c>
      <c r="K156">
        <v>86.202875399999996</v>
      </c>
      <c r="L156">
        <v>150.39022829999999</v>
      </c>
      <c r="M156">
        <f t="shared" si="6"/>
        <v>978.93927856330311</v>
      </c>
      <c r="N156">
        <f t="shared" si="7"/>
        <v>4.0530699266894616E-3</v>
      </c>
      <c r="O156">
        <f t="shared" si="8"/>
        <v>9.0461436937546677E-5</v>
      </c>
    </row>
    <row r="157" spans="1:15" x14ac:dyDescent="0.2">
      <c r="A157">
        <v>156</v>
      </c>
      <c r="B157" t="s">
        <v>1882</v>
      </c>
      <c r="C157" t="s">
        <v>598</v>
      </c>
      <c r="D157">
        <v>6534</v>
      </c>
      <c r="E157" t="s">
        <v>566</v>
      </c>
      <c r="F157" t="s">
        <v>1876</v>
      </c>
      <c r="G157" t="s">
        <v>1877</v>
      </c>
      <c r="H157">
        <v>87867</v>
      </c>
      <c r="I157">
        <v>516</v>
      </c>
      <c r="J157">
        <v>24.428936499999999</v>
      </c>
      <c r="K157">
        <v>85.535472400000003</v>
      </c>
      <c r="L157">
        <v>393.43478390000001</v>
      </c>
      <c r="M157">
        <f t="shared" si="6"/>
        <v>808.44303810504175</v>
      </c>
      <c r="N157">
        <f t="shared" si="7"/>
        <v>-2.5155447262763898E-2</v>
      </c>
      <c r="O157">
        <f t="shared" si="8"/>
        <v>-1.1097660912139954E-4</v>
      </c>
    </row>
    <row r="158" spans="1:15" x14ac:dyDescent="0.2">
      <c r="A158">
        <v>157</v>
      </c>
      <c r="B158" t="s">
        <v>1883</v>
      </c>
      <c r="C158" t="s">
        <v>608</v>
      </c>
      <c r="D158">
        <v>6562</v>
      </c>
      <c r="E158" t="s">
        <v>566</v>
      </c>
      <c r="F158" t="s">
        <v>1876</v>
      </c>
      <c r="G158" t="s">
        <v>1877</v>
      </c>
      <c r="H158">
        <v>119972</v>
      </c>
      <c r="I158">
        <v>374</v>
      </c>
      <c r="J158">
        <v>24.042043199999998</v>
      </c>
      <c r="K158">
        <v>84.090724600000001</v>
      </c>
      <c r="L158">
        <v>235.2293243</v>
      </c>
      <c r="M158">
        <f t="shared" si="6"/>
        <v>729.97070641865525</v>
      </c>
      <c r="N158">
        <f t="shared" si="7"/>
        <v>-6.1868239510009231E-3</v>
      </c>
      <c r="O158">
        <f t="shared" si="8"/>
        <v>-1.2155492575805429E-4</v>
      </c>
    </row>
    <row r="159" spans="1:15" x14ac:dyDescent="0.2">
      <c r="A159">
        <v>158</v>
      </c>
      <c r="B159" t="s">
        <v>1884</v>
      </c>
      <c r="C159" t="s">
        <v>567</v>
      </c>
      <c r="D159">
        <v>6549</v>
      </c>
      <c r="E159" t="s">
        <v>566</v>
      </c>
      <c r="F159" t="s">
        <v>1876</v>
      </c>
      <c r="G159" t="s">
        <v>1877</v>
      </c>
      <c r="H159">
        <v>186139</v>
      </c>
      <c r="I159">
        <v>235</v>
      </c>
      <c r="J159">
        <v>23.762264099999999</v>
      </c>
      <c r="K159">
        <v>86.002069300000002</v>
      </c>
      <c r="L159">
        <v>216.73542789999999</v>
      </c>
      <c r="M159">
        <f t="shared" si="6"/>
        <v>892.04497606715881</v>
      </c>
      <c r="N159">
        <f t="shared" si="7"/>
        <v>-2.9895472555177805E-3</v>
      </c>
      <c r="O159">
        <f t="shared" si="8"/>
        <v>-9.8484418093147167E-5</v>
      </c>
    </row>
    <row r="160" spans="1:15" x14ac:dyDescent="0.2">
      <c r="A160">
        <v>159</v>
      </c>
      <c r="B160" t="s">
        <v>1885</v>
      </c>
      <c r="C160" t="s">
        <v>1885</v>
      </c>
      <c r="D160">
        <v>6553</v>
      </c>
      <c r="E160" t="s">
        <v>566</v>
      </c>
      <c r="F160" t="s">
        <v>1876</v>
      </c>
      <c r="G160" t="s">
        <v>1877</v>
      </c>
      <c r="H160">
        <v>132441</v>
      </c>
      <c r="I160">
        <v>344</v>
      </c>
      <c r="J160">
        <v>23.633224299999998</v>
      </c>
      <c r="K160">
        <v>85.514873499999993</v>
      </c>
      <c r="L160">
        <v>337.10781859999997</v>
      </c>
      <c r="M160">
        <f t="shared" si="6"/>
        <v>864.47102326441677</v>
      </c>
      <c r="N160">
        <f t="shared" si="7"/>
        <v>-1.700930312791115E-2</v>
      </c>
      <c r="O160">
        <f t="shared" si="8"/>
        <v>-1.0365916697602484E-4</v>
      </c>
    </row>
    <row r="161" spans="1:15" x14ac:dyDescent="0.2">
      <c r="A161">
        <v>160</v>
      </c>
      <c r="B161" t="s">
        <v>616</v>
      </c>
      <c r="C161" t="s">
        <v>616</v>
      </c>
      <c r="D161">
        <v>651</v>
      </c>
      <c r="E161" t="s">
        <v>566</v>
      </c>
      <c r="F161" t="s">
        <v>1876</v>
      </c>
      <c r="G161" t="s">
        <v>1877</v>
      </c>
      <c r="H161">
        <v>1126741</v>
      </c>
      <c r="I161">
        <v>39</v>
      </c>
      <c r="J161">
        <v>23.349648999999999</v>
      </c>
      <c r="K161">
        <v>85.334520999999995</v>
      </c>
      <c r="L161">
        <v>635.04986570000005</v>
      </c>
      <c r="M161">
        <f t="shared" si="6"/>
        <v>873.17614324990654</v>
      </c>
      <c r="N161">
        <f t="shared" si="7"/>
        <v>-5.0961372151534401E-2</v>
      </c>
      <c r="O161">
        <f t="shared" si="8"/>
        <v>-1.0292452593892393E-4</v>
      </c>
    </row>
    <row r="162" spans="1:15" x14ac:dyDescent="0.2">
      <c r="A162">
        <v>161</v>
      </c>
      <c r="B162" t="s">
        <v>619</v>
      </c>
      <c r="C162" t="s">
        <v>619</v>
      </c>
      <c r="D162">
        <v>6436</v>
      </c>
      <c r="E162" t="s">
        <v>566</v>
      </c>
      <c r="F162" t="s">
        <v>1876</v>
      </c>
      <c r="G162" t="s">
        <v>1877</v>
      </c>
      <c r="H162">
        <v>80154</v>
      </c>
      <c r="I162">
        <v>524</v>
      </c>
      <c r="J162">
        <v>25.238121599999999</v>
      </c>
      <c r="K162">
        <v>87.645359200000001</v>
      </c>
      <c r="L162">
        <v>39.743370059999997</v>
      </c>
      <c r="M162">
        <f t="shared" si="6"/>
        <v>940.46973306681139</v>
      </c>
      <c r="N162">
        <f t="shared" si="7"/>
        <v>1.5983922337383816E-2</v>
      </c>
      <c r="O162">
        <f t="shared" si="8"/>
        <v>9.5291590751250916E-5</v>
      </c>
    </row>
    <row r="163" spans="1:15" x14ac:dyDescent="0.2">
      <c r="A163">
        <v>162</v>
      </c>
      <c r="B163" t="s">
        <v>629</v>
      </c>
      <c r="C163" t="s">
        <v>629</v>
      </c>
      <c r="D163">
        <v>8354</v>
      </c>
      <c r="E163" t="s">
        <v>628</v>
      </c>
      <c r="F163" t="s">
        <v>1886</v>
      </c>
      <c r="G163" t="s">
        <v>1887</v>
      </c>
      <c r="H163">
        <v>12068</v>
      </c>
      <c r="I163">
        <v>527</v>
      </c>
      <c r="J163">
        <v>16.172535499999999</v>
      </c>
      <c r="K163">
        <v>75.655720599999995</v>
      </c>
      <c r="L163">
        <v>541.94781490000003</v>
      </c>
      <c r="M163">
        <f t="shared" si="6"/>
        <v>1444.7426738485606</v>
      </c>
      <c r="N163">
        <f t="shared" si="7"/>
        <v>-2.4355928531040575E-2</v>
      </c>
      <c r="O163">
        <f t="shared" si="8"/>
        <v>-6.2182127435125734E-5</v>
      </c>
    </row>
    <row r="164" spans="1:15" x14ac:dyDescent="0.2">
      <c r="A164">
        <v>163</v>
      </c>
      <c r="B164" t="s">
        <v>638</v>
      </c>
      <c r="C164" t="s">
        <v>1888</v>
      </c>
      <c r="D164">
        <v>831</v>
      </c>
      <c r="E164" t="s">
        <v>628</v>
      </c>
      <c r="F164" t="s">
        <v>1886</v>
      </c>
      <c r="G164" t="s">
        <v>1887</v>
      </c>
      <c r="H164">
        <v>490045</v>
      </c>
      <c r="I164">
        <v>93</v>
      </c>
      <c r="J164">
        <v>15.8496953</v>
      </c>
      <c r="K164">
        <v>74.497674099999998</v>
      </c>
      <c r="L164">
        <v>775.62078859999997</v>
      </c>
      <c r="M164">
        <f t="shared" si="6"/>
        <v>1511.8414344961839</v>
      </c>
      <c r="N164">
        <f t="shared" si="7"/>
        <v>-3.87311429253911E-2</v>
      </c>
      <c r="O164">
        <f t="shared" si="8"/>
        <v>-5.9465330897106977E-5</v>
      </c>
    </row>
    <row r="165" spans="1:15" x14ac:dyDescent="0.2">
      <c r="A165">
        <v>164</v>
      </c>
      <c r="B165" t="s">
        <v>641</v>
      </c>
      <c r="C165" t="s">
        <v>1889</v>
      </c>
      <c r="D165">
        <v>8392</v>
      </c>
      <c r="E165" t="s">
        <v>628</v>
      </c>
      <c r="F165" t="s">
        <v>1886</v>
      </c>
      <c r="G165" t="s">
        <v>1887</v>
      </c>
      <c r="H165">
        <v>409444</v>
      </c>
      <c r="I165">
        <v>111</v>
      </c>
      <c r="J165">
        <v>15.139393200000001</v>
      </c>
      <c r="K165">
        <v>76.921442799999994</v>
      </c>
      <c r="L165">
        <v>458.65115359999999</v>
      </c>
      <c r="M165">
        <f t="shared" si="6"/>
        <v>1533.1151477008273</v>
      </c>
      <c r="N165">
        <f t="shared" si="7"/>
        <v>-1.7518829698003318E-2</v>
      </c>
      <c r="O165">
        <f t="shared" si="8"/>
        <v>-5.8564860977975713E-5</v>
      </c>
    </row>
    <row r="166" spans="1:15" x14ac:dyDescent="0.2">
      <c r="A166">
        <v>165</v>
      </c>
      <c r="B166" t="s">
        <v>1890</v>
      </c>
      <c r="C166" t="s">
        <v>1891</v>
      </c>
      <c r="D166">
        <v>80</v>
      </c>
      <c r="E166" t="s">
        <v>628</v>
      </c>
      <c r="F166" t="s">
        <v>1886</v>
      </c>
      <c r="G166" t="s">
        <v>1887</v>
      </c>
      <c r="H166">
        <v>8728906</v>
      </c>
      <c r="I166">
        <v>5</v>
      </c>
      <c r="J166">
        <v>12.971598699999999</v>
      </c>
      <c r="K166">
        <v>77.594562699999997</v>
      </c>
      <c r="L166">
        <v>911.85839840000006</v>
      </c>
      <c r="M166">
        <f t="shared" si="6"/>
        <v>1765.0580804563035</v>
      </c>
      <c r="N166">
        <f t="shared" si="7"/>
        <v>-4.0893332893238411E-2</v>
      </c>
      <c r="O166">
        <f t="shared" si="8"/>
        <v>-5.0944850507244946E-5</v>
      </c>
    </row>
    <row r="167" spans="1:15" x14ac:dyDescent="0.2">
      <c r="A167">
        <v>166</v>
      </c>
      <c r="B167" t="s">
        <v>1892</v>
      </c>
      <c r="C167" t="s">
        <v>696</v>
      </c>
      <c r="D167">
        <v>8282</v>
      </c>
      <c r="E167" t="s">
        <v>628</v>
      </c>
      <c r="F167" t="s">
        <v>1886</v>
      </c>
      <c r="G167" t="s">
        <v>1887</v>
      </c>
      <c r="H167">
        <v>151102</v>
      </c>
      <c r="I167">
        <v>296</v>
      </c>
      <c r="J167">
        <v>13.8329901</v>
      </c>
      <c r="K167">
        <v>75.708072700000002</v>
      </c>
      <c r="L167">
        <v>595.15942380000001</v>
      </c>
      <c r="M167">
        <f t="shared" si="6"/>
        <v>1697.9008023239585</v>
      </c>
      <c r="N167">
        <f t="shared" si="7"/>
        <v>-2.3858408067511397E-2</v>
      </c>
      <c r="O167">
        <f t="shared" si="8"/>
        <v>-5.292332818780411E-5</v>
      </c>
    </row>
    <row r="168" spans="1:15" x14ac:dyDescent="0.2">
      <c r="A168">
        <v>167</v>
      </c>
      <c r="B168" t="s">
        <v>644</v>
      </c>
      <c r="C168" t="s">
        <v>644</v>
      </c>
      <c r="D168">
        <v>8482</v>
      </c>
      <c r="E168" t="s">
        <v>628</v>
      </c>
      <c r="F168" t="s">
        <v>1886</v>
      </c>
      <c r="G168" t="s">
        <v>1887</v>
      </c>
      <c r="H168">
        <v>216020</v>
      </c>
      <c r="I168">
        <v>202</v>
      </c>
      <c r="J168">
        <v>17.914879899999999</v>
      </c>
      <c r="K168">
        <v>77.504610099999994</v>
      </c>
      <c r="L168">
        <v>672.14331049999998</v>
      </c>
      <c r="M168">
        <f t="shared" si="6"/>
        <v>1219.0545942245096</v>
      </c>
      <c r="N168">
        <f t="shared" si="7"/>
        <v>-3.9545069678086749E-2</v>
      </c>
      <c r="O168">
        <f t="shared" si="8"/>
        <v>-7.3730207344148511E-5</v>
      </c>
    </row>
    <row r="169" spans="1:15" x14ac:dyDescent="0.2">
      <c r="A169">
        <v>168</v>
      </c>
      <c r="B169" t="s">
        <v>647</v>
      </c>
      <c r="C169" t="s">
        <v>1893</v>
      </c>
      <c r="D169">
        <v>8352</v>
      </c>
      <c r="E169" t="s">
        <v>628</v>
      </c>
      <c r="F169" t="s">
        <v>1886</v>
      </c>
      <c r="G169" t="s">
        <v>1887</v>
      </c>
      <c r="H169">
        <v>327427</v>
      </c>
      <c r="I169">
        <v>133</v>
      </c>
      <c r="J169">
        <v>16.830170800000001</v>
      </c>
      <c r="K169">
        <v>75.710031000000001</v>
      </c>
      <c r="L169">
        <v>611.70123290000004</v>
      </c>
      <c r="M169">
        <f t="shared" si="6"/>
        <v>1372.2810326737024</v>
      </c>
      <c r="N169">
        <f t="shared" si="7"/>
        <v>-3.0725041085680818E-2</v>
      </c>
      <c r="O169">
        <f t="shared" si="8"/>
        <v>-6.5485209108092442E-5</v>
      </c>
    </row>
    <row r="170" spans="1:15" x14ac:dyDescent="0.2">
      <c r="A170">
        <v>169</v>
      </c>
      <c r="B170" t="s">
        <v>1894</v>
      </c>
      <c r="C170" t="s">
        <v>1894</v>
      </c>
      <c r="D170">
        <v>8262</v>
      </c>
      <c r="E170" t="s">
        <v>628</v>
      </c>
      <c r="F170" t="s">
        <v>1886</v>
      </c>
      <c r="G170" t="s">
        <v>1887</v>
      </c>
      <c r="H170">
        <v>118496</v>
      </c>
      <c r="I170">
        <v>378</v>
      </c>
      <c r="J170">
        <v>13.315258</v>
      </c>
      <c r="K170">
        <v>75.775401799999997</v>
      </c>
      <c r="L170">
        <v>1039.627197</v>
      </c>
      <c r="M170">
        <f t="shared" si="6"/>
        <v>1753.0816995612233</v>
      </c>
      <c r="N170">
        <f t="shared" si="7"/>
        <v>-4.8460940263801475E-2</v>
      </c>
      <c r="O170">
        <f t="shared" si="8"/>
        <v>-5.1299696034314282E-5</v>
      </c>
    </row>
    <row r="171" spans="1:15" x14ac:dyDescent="0.2">
      <c r="A171">
        <v>170</v>
      </c>
      <c r="B171" t="s">
        <v>653</v>
      </c>
      <c r="C171" t="s">
        <v>1895</v>
      </c>
      <c r="D171">
        <v>8262</v>
      </c>
      <c r="E171" t="s">
        <v>628</v>
      </c>
      <c r="F171" t="s">
        <v>1886</v>
      </c>
      <c r="G171" t="s">
        <v>1887</v>
      </c>
      <c r="H171">
        <v>118496</v>
      </c>
      <c r="I171">
        <v>379</v>
      </c>
      <c r="J171">
        <v>13.315258</v>
      </c>
      <c r="K171">
        <v>75.775401799999997</v>
      </c>
      <c r="L171">
        <v>1039.627197</v>
      </c>
      <c r="M171">
        <f t="shared" si="6"/>
        <v>1753.0816995612233</v>
      </c>
      <c r="N171">
        <f t="shared" si="7"/>
        <v>-4.8460940263801475E-2</v>
      </c>
      <c r="O171">
        <f t="shared" si="8"/>
        <v>-5.1299696034314282E-5</v>
      </c>
    </row>
    <row r="172" spans="1:15" x14ac:dyDescent="0.2">
      <c r="A172">
        <v>171</v>
      </c>
      <c r="B172" t="s">
        <v>656</v>
      </c>
      <c r="C172" t="s">
        <v>656</v>
      </c>
      <c r="D172">
        <v>8194</v>
      </c>
      <c r="E172" t="s">
        <v>628</v>
      </c>
      <c r="F172" t="s">
        <v>1886</v>
      </c>
      <c r="G172" t="s">
        <v>1887</v>
      </c>
      <c r="H172">
        <v>145853</v>
      </c>
      <c r="I172">
        <v>306</v>
      </c>
      <c r="J172">
        <v>14.230559400000001</v>
      </c>
      <c r="K172">
        <v>76.398453700000005</v>
      </c>
      <c r="L172">
        <v>725.15887450000002</v>
      </c>
      <c r="M172">
        <f t="shared" si="6"/>
        <v>1641.3242774687724</v>
      </c>
      <c r="N172">
        <f t="shared" si="7"/>
        <v>-3.2601208673109422E-2</v>
      </c>
      <c r="O172">
        <f t="shared" si="8"/>
        <v>-5.4768533413736848E-5</v>
      </c>
    </row>
    <row r="173" spans="1:15" x14ac:dyDescent="0.2">
      <c r="A173">
        <v>172</v>
      </c>
      <c r="B173" t="s">
        <v>1896</v>
      </c>
      <c r="C173" t="s">
        <v>1896</v>
      </c>
      <c r="D173">
        <v>8192</v>
      </c>
      <c r="E173" t="s">
        <v>628</v>
      </c>
      <c r="F173" t="s">
        <v>1886</v>
      </c>
      <c r="G173" t="s">
        <v>1887</v>
      </c>
      <c r="H173">
        <v>435128</v>
      </c>
      <c r="I173">
        <v>102</v>
      </c>
      <c r="J173">
        <v>14.466343800000001</v>
      </c>
      <c r="K173">
        <v>75.923839700000002</v>
      </c>
      <c r="L173">
        <v>595.87463379999997</v>
      </c>
      <c r="M173">
        <f t="shared" si="6"/>
        <v>1624.3349719306548</v>
      </c>
      <c r="N173">
        <f t="shared" si="7"/>
        <v>-2.4982981897980372E-2</v>
      </c>
      <c r="O173">
        <f t="shared" si="8"/>
        <v>-5.5320369394381042E-5</v>
      </c>
    </row>
    <row r="174" spans="1:15" x14ac:dyDescent="0.2">
      <c r="A174">
        <v>173</v>
      </c>
      <c r="B174" t="s">
        <v>668</v>
      </c>
      <c r="C174" t="s">
        <v>668</v>
      </c>
      <c r="D174">
        <v>8372</v>
      </c>
      <c r="E174" t="s">
        <v>628</v>
      </c>
      <c r="F174" t="s">
        <v>1886</v>
      </c>
      <c r="G174" t="s">
        <v>1887</v>
      </c>
      <c r="H174">
        <v>172612</v>
      </c>
      <c r="I174">
        <v>252</v>
      </c>
      <c r="J174">
        <v>15.4324651</v>
      </c>
      <c r="K174">
        <v>75.638033699999994</v>
      </c>
      <c r="L174">
        <v>659.73455809999996</v>
      </c>
      <c r="M174">
        <f t="shared" si="6"/>
        <v>1525.3736441713145</v>
      </c>
      <c r="N174">
        <f t="shared" si="7"/>
        <v>-3.0790307548230568E-2</v>
      </c>
      <c r="O174">
        <f t="shared" si="8"/>
        <v>-5.8921962000868262E-5</v>
      </c>
    </row>
    <row r="175" spans="1:15" x14ac:dyDescent="0.2">
      <c r="A175">
        <v>174</v>
      </c>
      <c r="B175" t="s">
        <v>1897</v>
      </c>
      <c r="C175" t="s">
        <v>685</v>
      </c>
      <c r="D175">
        <v>8533</v>
      </c>
      <c r="E175" t="s">
        <v>628</v>
      </c>
      <c r="F175" t="s">
        <v>1886</v>
      </c>
      <c r="G175" t="s">
        <v>1887</v>
      </c>
      <c r="H175">
        <v>114642</v>
      </c>
      <c r="I175">
        <v>396</v>
      </c>
      <c r="J175">
        <v>15.431874000000001</v>
      </c>
      <c r="K175">
        <v>76.531481700000001</v>
      </c>
      <c r="L175">
        <v>411.62182619999999</v>
      </c>
      <c r="M175">
        <f t="shared" si="6"/>
        <v>1507.1780348789569</v>
      </c>
      <c r="N175">
        <f t="shared" si="7"/>
        <v>-1.4699955763208377E-2</v>
      </c>
      <c r="O175">
        <f t="shared" si="8"/>
        <v>-5.9542662926404269E-5</v>
      </c>
    </row>
    <row r="176" spans="1:15" x14ac:dyDescent="0.2">
      <c r="A176">
        <v>175</v>
      </c>
      <c r="B176" t="s">
        <v>671</v>
      </c>
      <c r="C176" t="s">
        <v>1898</v>
      </c>
      <c r="D176">
        <v>8472</v>
      </c>
      <c r="E176" t="s">
        <v>628</v>
      </c>
      <c r="F176" t="s">
        <v>1886</v>
      </c>
      <c r="G176" t="s">
        <v>1887</v>
      </c>
      <c r="H176">
        <v>532031</v>
      </c>
      <c r="I176">
        <v>83</v>
      </c>
      <c r="J176">
        <v>17.329730999999999</v>
      </c>
      <c r="K176">
        <v>76.834295699999998</v>
      </c>
      <c r="L176">
        <v>455.35681149999999</v>
      </c>
      <c r="M176">
        <f t="shared" si="6"/>
        <v>1293.706593159503</v>
      </c>
      <c r="N176">
        <f t="shared" si="7"/>
        <v>-2.0506155808644941E-2</v>
      </c>
      <c r="O176">
        <f t="shared" si="8"/>
        <v>-6.9400609800194125E-5</v>
      </c>
    </row>
    <row r="177" spans="1:15" x14ac:dyDescent="0.2">
      <c r="A177">
        <v>176</v>
      </c>
      <c r="B177" t="s">
        <v>1899</v>
      </c>
      <c r="C177" t="s">
        <v>662</v>
      </c>
      <c r="D177">
        <v>8192</v>
      </c>
      <c r="E177" t="s">
        <v>628</v>
      </c>
      <c r="F177" t="s">
        <v>1886</v>
      </c>
      <c r="G177" t="s">
        <v>1887</v>
      </c>
      <c r="H177">
        <v>145000</v>
      </c>
      <c r="I177">
        <v>309</v>
      </c>
      <c r="J177">
        <v>14.530456600000001</v>
      </c>
      <c r="K177">
        <v>75.801096200000003</v>
      </c>
      <c r="L177">
        <v>535.65093990000003</v>
      </c>
      <c r="M177">
        <f t="shared" si="6"/>
        <v>1619.8751559910138</v>
      </c>
      <c r="N177">
        <f t="shared" si="7"/>
        <v>-2.1333966190041197E-2</v>
      </c>
      <c r="O177">
        <f t="shared" si="8"/>
        <v>-5.5457487493757623E-5</v>
      </c>
    </row>
    <row r="178" spans="1:15" x14ac:dyDescent="0.2">
      <c r="A178">
        <v>177</v>
      </c>
      <c r="B178" t="s">
        <v>674</v>
      </c>
      <c r="C178" t="s">
        <v>674</v>
      </c>
      <c r="D178">
        <v>8172</v>
      </c>
      <c r="E178" t="s">
        <v>628</v>
      </c>
      <c r="F178" t="s">
        <v>1886</v>
      </c>
      <c r="G178" t="s">
        <v>1887</v>
      </c>
      <c r="H178">
        <v>173008</v>
      </c>
      <c r="I178">
        <v>251</v>
      </c>
      <c r="J178">
        <v>13.006814200000001</v>
      </c>
      <c r="K178">
        <v>76.099551899999994</v>
      </c>
      <c r="L178">
        <v>951.19439699999998</v>
      </c>
      <c r="M178">
        <f t="shared" si="6"/>
        <v>1780.8128952013208</v>
      </c>
      <c r="N178">
        <f t="shared" si="7"/>
        <v>-4.2740429230436063E-2</v>
      </c>
      <c r="O178">
        <f t="shared" si="8"/>
        <v>-5.0496446166909474E-5</v>
      </c>
    </row>
    <row r="179" spans="1:15" x14ac:dyDescent="0.2">
      <c r="A179">
        <v>178</v>
      </c>
      <c r="B179" t="s">
        <v>1900</v>
      </c>
      <c r="C179" t="s">
        <v>641</v>
      </c>
      <c r="D179">
        <v>8394</v>
      </c>
      <c r="E179" t="s">
        <v>628</v>
      </c>
      <c r="F179" t="s">
        <v>1886</v>
      </c>
      <c r="G179" t="s">
        <v>1887</v>
      </c>
      <c r="H179">
        <v>206159</v>
      </c>
      <c r="I179">
        <v>209</v>
      </c>
      <c r="J179">
        <v>15.2688542</v>
      </c>
      <c r="K179">
        <v>76.390924100000007</v>
      </c>
      <c r="L179">
        <v>483.8506165</v>
      </c>
      <c r="M179">
        <f t="shared" si="6"/>
        <v>1527.557283636088</v>
      </c>
      <c r="N179">
        <f t="shared" si="7"/>
        <v>-1.923222767794994E-2</v>
      </c>
      <c r="O179">
        <f t="shared" si="8"/>
        <v>-5.8789921895687321E-5</v>
      </c>
    </row>
    <row r="180" spans="1:15" x14ac:dyDescent="0.2">
      <c r="A180">
        <v>179</v>
      </c>
      <c r="B180" t="s">
        <v>1901</v>
      </c>
      <c r="C180" t="s">
        <v>665</v>
      </c>
      <c r="D180">
        <v>836</v>
      </c>
      <c r="E180" t="s">
        <v>628</v>
      </c>
      <c r="F180" t="s">
        <v>1886</v>
      </c>
      <c r="G180" t="s">
        <v>1887</v>
      </c>
      <c r="H180">
        <v>943857</v>
      </c>
      <c r="I180">
        <v>51</v>
      </c>
      <c r="J180">
        <v>15.3647083</v>
      </c>
      <c r="K180">
        <v>75.123954699999999</v>
      </c>
      <c r="L180">
        <v>626.33636469999999</v>
      </c>
      <c r="M180">
        <f t="shared" si="6"/>
        <v>1545.5599156886522</v>
      </c>
      <c r="N180">
        <f t="shared" si="7"/>
        <v>-2.8227248809413668E-2</v>
      </c>
      <c r="O180">
        <f t="shared" si="8"/>
        <v>-5.8146350730342069E-5</v>
      </c>
    </row>
    <row r="181" spans="1:15" x14ac:dyDescent="0.2">
      <c r="A181">
        <v>180</v>
      </c>
      <c r="B181" t="s">
        <v>682</v>
      </c>
      <c r="C181" t="s">
        <v>682</v>
      </c>
      <c r="D181">
        <v>8152</v>
      </c>
      <c r="E181" t="s">
        <v>628</v>
      </c>
      <c r="F181" t="s">
        <v>1886</v>
      </c>
      <c r="G181" t="s">
        <v>1887</v>
      </c>
      <c r="H181">
        <v>138462</v>
      </c>
      <c r="I181">
        <v>328</v>
      </c>
      <c r="J181">
        <v>13.135744600000001</v>
      </c>
      <c r="K181">
        <v>78.132561100000004</v>
      </c>
      <c r="L181">
        <v>845.66949460000001</v>
      </c>
      <c r="M181">
        <f t="shared" si="6"/>
        <v>1743.0389758828178</v>
      </c>
      <c r="N181">
        <f t="shared" si="7"/>
        <v>-3.7612593973577066E-2</v>
      </c>
      <c r="O181">
        <f t="shared" si="8"/>
        <v>-5.1583818368315914E-5</v>
      </c>
    </row>
    <row r="182" spans="1:15" x14ac:dyDescent="0.2">
      <c r="A182">
        <v>181</v>
      </c>
      <c r="B182" t="s">
        <v>687</v>
      </c>
      <c r="C182" t="s">
        <v>687</v>
      </c>
      <c r="D182">
        <v>8232</v>
      </c>
      <c r="E182" t="s">
        <v>628</v>
      </c>
      <c r="F182" t="s">
        <v>1886</v>
      </c>
      <c r="G182" t="s">
        <v>1887</v>
      </c>
      <c r="H182">
        <v>137358</v>
      </c>
      <c r="I182">
        <v>331</v>
      </c>
      <c r="J182">
        <v>12.5221567</v>
      </c>
      <c r="K182">
        <v>76.900919099999996</v>
      </c>
      <c r="L182">
        <v>679.48248290000004</v>
      </c>
      <c r="M182">
        <f t="shared" si="6"/>
        <v>1822.1459261055566</v>
      </c>
      <c r="N182">
        <f t="shared" si="7"/>
        <v>-2.6859273677713579E-2</v>
      </c>
      <c r="O182">
        <f t="shared" si="8"/>
        <v>-4.9328063677164676E-5</v>
      </c>
    </row>
    <row r="183" spans="1:15" x14ac:dyDescent="0.2">
      <c r="A183">
        <v>182</v>
      </c>
      <c r="B183" t="s">
        <v>1902</v>
      </c>
      <c r="C183" t="s">
        <v>1903</v>
      </c>
      <c r="D183">
        <v>824</v>
      </c>
      <c r="E183" t="s">
        <v>628</v>
      </c>
      <c r="F183" t="s">
        <v>1886</v>
      </c>
      <c r="G183" t="s">
        <v>1887</v>
      </c>
      <c r="H183">
        <v>499487</v>
      </c>
      <c r="I183">
        <v>90</v>
      </c>
      <c r="J183">
        <v>12.9141417</v>
      </c>
      <c r="K183">
        <v>74.855956800000001</v>
      </c>
      <c r="L183">
        <v>28.84196854</v>
      </c>
      <c r="M183">
        <f t="shared" si="6"/>
        <v>1817.1392503368852</v>
      </c>
      <c r="N183">
        <f t="shared" si="7"/>
        <v>8.8724820197521957E-3</v>
      </c>
      <c r="O183">
        <f t="shared" si="8"/>
        <v>4.9332833220239828E-5</v>
      </c>
    </row>
    <row r="184" spans="1:15" x14ac:dyDescent="0.2">
      <c r="A184">
        <v>183</v>
      </c>
      <c r="B184" t="s">
        <v>690</v>
      </c>
      <c r="C184" t="s">
        <v>1904</v>
      </c>
      <c r="D184">
        <v>821</v>
      </c>
      <c r="E184" t="s">
        <v>628</v>
      </c>
      <c r="F184" t="s">
        <v>1886</v>
      </c>
      <c r="G184" t="s">
        <v>1887</v>
      </c>
      <c r="H184">
        <v>887446</v>
      </c>
      <c r="I184">
        <v>57</v>
      </c>
      <c r="J184">
        <v>12.295810400000001</v>
      </c>
      <c r="K184">
        <v>76.639380500000001</v>
      </c>
      <c r="L184">
        <v>750.07263179999995</v>
      </c>
      <c r="M184">
        <f t="shared" si="6"/>
        <v>1850.5733184938877</v>
      </c>
      <c r="N184">
        <f t="shared" si="7"/>
        <v>-3.0261179300681118E-2</v>
      </c>
      <c r="O184">
        <f t="shared" si="8"/>
        <v>-4.8578289921563971E-5</v>
      </c>
    </row>
    <row r="185" spans="1:15" x14ac:dyDescent="0.2">
      <c r="A185">
        <v>184</v>
      </c>
      <c r="B185" t="s">
        <v>693</v>
      </c>
      <c r="C185" t="s">
        <v>693</v>
      </c>
      <c r="D185">
        <v>8532</v>
      </c>
      <c r="E185" t="s">
        <v>628</v>
      </c>
      <c r="F185" t="s">
        <v>1886</v>
      </c>
      <c r="G185" t="s">
        <v>1887</v>
      </c>
      <c r="H185">
        <v>232456</v>
      </c>
      <c r="I185">
        <v>190</v>
      </c>
      <c r="J185">
        <v>16.2120031</v>
      </c>
      <c r="K185">
        <v>77.343928300000002</v>
      </c>
      <c r="L185">
        <v>392.6736755</v>
      </c>
      <c r="M185">
        <f t="shared" si="6"/>
        <v>1409.0891969992317</v>
      </c>
      <c r="N185">
        <f t="shared" si="7"/>
        <v>-1.4378532894260098E-2</v>
      </c>
      <c r="O185">
        <f t="shared" si="8"/>
        <v>-6.3670354503121986E-5</v>
      </c>
    </row>
    <row r="186" spans="1:15" x14ac:dyDescent="0.2">
      <c r="A186">
        <v>185</v>
      </c>
      <c r="B186" t="s">
        <v>1905</v>
      </c>
      <c r="C186" t="s">
        <v>1906</v>
      </c>
      <c r="D186">
        <v>80</v>
      </c>
      <c r="E186" t="s">
        <v>628</v>
      </c>
      <c r="F186" t="s">
        <v>1886</v>
      </c>
      <c r="G186" t="s">
        <v>1887</v>
      </c>
      <c r="H186">
        <v>95167</v>
      </c>
      <c r="I186">
        <v>492</v>
      </c>
      <c r="J186">
        <v>12.709448699999999</v>
      </c>
      <c r="K186">
        <v>77.2807423</v>
      </c>
      <c r="L186">
        <v>678.30438230000004</v>
      </c>
      <c r="M186">
        <f t="shared" si="6"/>
        <v>1797.0871414798564</v>
      </c>
      <c r="N186">
        <f t="shared" si="7"/>
        <v>-2.7168246282033324E-2</v>
      </c>
      <c r="O186">
        <f t="shared" si="8"/>
        <v>-5.0015742538361013E-5</v>
      </c>
    </row>
    <row r="187" spans="1:15" x14ac:dyDescent="0.2">
      <c r="A187">
        <v>186</v>
      </c>
      <c r="B187" t="s">
        <v>1907</v>
      </c>
      <c r="C187" t="s">
        <v>677</v>
      </c>
      <c r="D187">
        <v>8373</v>
      </c>
      <c r="E187" t="s">
        <v>628</v>
      </c>
      <c r="F187" t="s">
        <v>1886</v>
      </c>
      <c r="G187" t="s">
        <v>1887</v>
      </c>
      <c r="H187">
        <v>106365</v>
      </c>
      <c r="I187">
        <v>432</v>
      </c>
      <c r="J187">
        <v>14.611342799999999</v>
      </c>
      <c r="K187">
        <v>75.638265700000005</v>
      </c>
      <c r="L187">
        <v>589.58306879999998</v>
      </c>
      <c r="M187">
        <f t="shared" si="6"/>
        <v>1614.591053230195</v>
      </c>
      <c r="N187">
        <f t="shared" si="7"/>
        <v>-2.4744082794260366E-2</v>
      </c>
      <c r="O187">
        <f t="shared" si="8"/>
        <v>-5.5652845994919865E-5</v>
      </c>
    </row>
    <row r="188" spans="1:15" x14ac:dyDescent="0.2">
      <c r="A188">
        <v>187</v>
      </c>
      <c r="B188" t="s">
        <v>1908</v>
      </c>
      <c r="C188" t="s">
        <v>682</v>
      </c>
      <c r="D188">
        <v>8153</v>
      </c>
      <c r="E188" t="s">
        <v>628</v>
      </c>
      <c r="F188" t="s">
        <v>1886</v>
      </c>
      <c r="G188" t="s">
        <v>1887</v>
      </c>
      <c r="H188">
        <v>162230</v>
      </c>
      <c r="I188">
        <v>272</v>
      </c>
      <c r="J188">
        <v>12.9551189</v>
      </c>
      <c r="K188">
        <v>78.269862200000006</v>
      </c>
      <c r="L188">
        <v>851.80041500000004</v>
      </c>
      <c r="M188">
        <f t="shared" si="6"/>
        <v>1762.4120218797293</v>
      </c>
      <c r="N188">
        <f t="shared" si="7"/>
        <v>-3.7547014261410772E-2</v>
      </c>
      <c r="O188">
        <f t="shared" si="8"/>
        <v>-5.1017250520572186E-5</v>
      </c>
    </row>
    <row r="189" spans="1:15" x14ac:dyDescent="0.2">
      <c r="A189">
        <v>188</v>
      </c>
      <c r="B189" t="s">
        <v>696</v>
      </c>
      <c r="C189" t="s">
        <v>1909</v>
      </c>
      <c r="D189">
        <v>8182</v>
      </c>
      <c r="E189" t="s">
        <v>628</v>
      </c>
      <c r="F189" t="s">
        <v>1886</v>
      </c>
      <c r="G189" t="s">
        <v>1887</v>
      </c>
      <c r="H189">
        <v>322428</v>
      </c>
      <c r="I189">
        <v>138</v>
      </c>
      <c r="J189">
        <v>13.929929899999999</v>
      </c>
      <c r="K189">
        <v>75.568100999999999</v>
      </c>
      <c r="L189">
        <v>588.02374269999996</v>
      </c>
      <c r="M189">
        <f t="shared" si="6"/>
        <v>1690.3099484149977</v>
      </c>
      <c r="N189">
        <f t="shared" si="7"/>
        <v>-2.3543399319939127E-2</v>
      </c>
      <c r="O189">
        <f t="shared" si="8"/>
        <v>-5.3159496208200882E-5</v>
      </c>
    </row>
    <row r="190" spans="1:15" x14ac:dyDescent="0.2">
      <c r="A190">
        <v>189</v>
      </c>
      <c r="B190" t="s">
        <v>699</v>
      </c>
      <c r="C190" t="s">
        <v>1910</v>
      </c>
      <c r="D190">
        <v>816</v>
      </c>
      <c r="E190" t="s">
        <v>628</v>
      </c>
      <c r="F190" t="s">
        <v>1886</v>
      </c>
      <c r="G190" t="s">
        <v>1887</v>
      </c>
      <c r="H190">
        <v>305821</v>
      </c>
      <c r="I190">
        <v>147</v>
      </c>
      <c r="J190">
        <v>13.345018</v>
      </c>
      <c r="K190">
        <v>77.101945000000001</v>
      </c>
      <c r="L190">
        <v>819.87408449999998</v>
      </c>
      <c r="M190">
        <f t="shared" si="6"/>
        <v>1728.7782834822513</v>
      </c>
      <c r="N190">
        <f t="shared" si="7"/>
        <v>-3.6430742375557268E-2</v>
      </c>
      <c r="O190">
        <f t="shared" si="8"/>
        <v>-5.2007262787700331E-5</v>
      </c>
    </row>
    <row r="191" spans="1:15" x14ac:dyDescent="0.2">
      <c r="A191">
        <v>190</v>
      </c>
      <c r="B191" t="s">
        <v>702</v>
      </c>
      <c r="C191" t="s">
        <v>702</v>
      </c>
      <c r="D191">
        <v>820</v>
      </c>
      <c r="E191" t="s">
        <v>628</v>
      </c>
      <c r="F191" t="s">
        <v>1886</v>
      </c>
      <c r="G191" t="s">
        <v>1887</v>
      </c>
      <c r="H191">
        <v>165401</v>
      </c>
      <c r="I191">
        <v>263</v>
      </c>
      <c r="J191">
        <v>13.3371151</v>
      </c>
      <c r="K191">
        <v>74.746595999999997</v>
      </c>
      <c r="L191">
        <v>28.10068703</v>
      </c>
      <c r="M191">
        <f t="shared" si="6"/>
        <v>1774.1400669663822</v>
      </c>
      <c r="N191">
        <f t="shared" si="7"/>
        <v>9.12930369961985E-3</v>
      </c>
      <c r="O191">
        <f t="shared" si="8"/>
        <v>5.0529411772428712E-5</v>
      </c>
    </row>
    <row r="192" spans="1:15" x14ac:dyDescent="0.2">
      <c r="A192">
        <v>191</v>
      </c>
      <c r="B192" t="s">
        <v>709</v>
      </c>
      <c r="C192" t="s">
        <v>709</v>
      </c>
      <c r="D192">
        <v>477</v>
      </c>
      <c r="E192" t="s">
        <v>708</v>
      </c>
      <c r="F192" t="s">
        <v>1911</v>
      </c>
      <c r="G192" t="s">
        <v>1912</v>
      </c>
      <c r="H192">
        <v>174164</v>
      </c>
      <c r="I192">
        <v>248</v>
      </c>
      <c r="J192">
        <v>9.4980667000000008</v>
      </c>
      <c r="K192">
        <v>76.338848400000003</v>
      </c>
      <c r="L192">
        <v>7.4377942089999998</v>
      </c>
      <c r="M192">
        <f t="shared" si="6"/>
        <v>2163.3280037169397</v>
      </c>
      <c r="N192">
        <f t="shared" si="7"/>
        <v>8.4420636758371186E-3</v>
      </c>
      <c r="O192">
        <f t="shared" si="8"/>
        <v>4.1457548817825888E-5</v>
      </c>
    </row>
    <row r="193" spans="1:15" x14ac:dyDescent="0.2">
      <c r="A193">
        <v>192</v>
      </c>
      <c r="B193" t="s">
        <v>709</v>
      </c>
      <c r="C193" t="s">
        <v>709</v>
      </c>
      <c r="D193">
        <v>477</v>
      </c>
      <c r="E193" t="s">
        <v>708</v>
      </c>
      <c r="F193" t="s">
        <v>1911</v>
      </c>
      <c r="G193" t="s">
        <v>1912</v>
      </c>
      <c r="H193">
        <v>174164</v>
      </c>
      <c r="I193">
        <v>249</v>
      </c>
      <c r="J193">
        <v>9.4980667000000008</v>
      </c>
      <c r="K193">
        <v>76.338848400000003</v>
      </c>
      <c r="L193">
        <v>7.4377942089999998</v>
      </c>
      <c r="M193">
        <f t="shared" si="6"/>
        <v>2163.3280037169397</v>
      </c>
      <c r="N193">
        <f t="shared" si="7"/>
        <v>8.4420636758371186E-3</v>
      </c>
      <c r="O193">
        <f t="shared" si="8"/>
        <v>4.1457548817825888E-5</v>
      </c>
    </row>
    <row r="194" spans="1:15" x14ac:dyDescent="0.2">
      <c r="A194">
        <v>193</v>
      </c>
      <c r="B194" t="s">
        <v>1913</v>
      </c>
      <c r="C194" t="s">
        <v>728</v>
      </c>
      <c r="D194">
        <v>495</v>
      </c>
      <c r="E194" t="s">
        <v>708</v>
      </c>
      <c r="F194" t="s">
        <v>1911</v>
      </c>
      <c r="G194" t="s">
        <v>1912</v>
      </c>
      <c r="H194">
        <v>432097</v>
      </c>
      <c r="I194">
        <v>103</v>
      </c>
      <c r="J194">
        <v>11.2587531</v>
      </c>
      <c r="K194">
        <v>75.780410000000003</v>
      </c>
      <c r="L194">
        <v>15.41701698</v>
      </c>
      <c r="M194">
        <f t="shared" si="6"/>
        <v>1978.2417404913751</v>
      </c>
      <c r="N194">
        <f t="shared" si="7"/>
        <v>8.8285623159795757E-3</v>
      </c>
      <c r="O194">
        <f t="shared" si="8"/>
        <v>4.5329113094008556E-5</v>
      </c>
    </row>
    <row r="195" spans="1:15" x14ac:dyDescent="0.2">
      <c r="A195">
        <v>194</v>
      </c>
      <c r="B195" t="s">
        <v>717</v>
      </c>
      <c r="C195" t="s">
        <v>717</v>
      </c>
      <c r="D195">
        <v>497</v>
      </c>
      <c r="E195" t="s">
        <v>708</v>
      </c>
      <c r="F195" t="s">
        <v>1911</v>
      </c>
      <c r="G195" t="s">
        <v>1912</v>
      </c>
      <c r="H195">
        <v>232634</v>
      </c>
      <c r="I195">
        <v>189</v>
      </c>
      <c r="J195">
        <v>11.874477499999999</v>
      </c>
      <c r="K195">
        <v>75.370366200000007</v>
      </c>
      <c r="L195">
        <v>19.639944079999999</v>
      </c>
      <c r="M195">
        <f t="shared" ref="M195:M258" si="9">2*6371*ASIN(SQRT(
    SIN(RADIANS(J195-$V$6)/2)^2 +
    COS(RADIANS($V$6)) * COS(RADIANS(J195)) *
    SIN(RADIANS(K195-$V$7)/2)^2
))</f>
        <v>1918.6639618982549</v>
      </c>
      <c r="N195">
        <f t="shared" ref="N195:N258" si="10">($V$5-L195)/(M195*1000)*100</f>
        <v>8.8826069131660492E-3</v>
      </c>
      <c r="O195">
        <f t="shared" ref="O195:O258" si="11">DEGREES(ATAN($V$5-L195)/(M195*1000))</f>
        <v>4.6732422568907606E-5</v>
      </c>
    </row>
    <row r="196" spans="1:15" x14ac:dyDescent="0.2">
      <c r="A196">
        <v>195</v>
      </c>
      <c r="B196" t="s">
        <v>720</v>
      </c>
      <c r="C196" t="s">
        <v>720</v>
      </c>
      <c r="D196">
        <v>4994</v>
      </c>
      <c r="E196" t="s">
        <v>708</v>
      </c>
      <c r="F196" t="s">
        <v>1911</v>
      </c>
      <c r="G196" t="s">
        <v>1912</v>
      </c>
      <c r="H196">
        <v>192856</v>
      </c>
      <c r="I196">
        <v>227</v>
      </c>
      <c r="J196">
        <v>12.5102239</v>
      </c>
      <c r="K196">
        <v>74.985167799999999</v>
      </c>
      <c r="L196">
        <v>23.284791949999999</v>
      </c>
      <c r="M196">
        <f t="shared" si="9"/>
        <v>1857.8553717583784</v>
      </c>
      <c r="N196">
        <f t="shared" si="10"/>
        <v>8.9771535710095503E-3</v>
      </c>
      <c r="O196">
        <f t="shared" si="11"/>
        <v>4.8258045067108809E-5</v>
      </c>
    </row>
    <row r="197" spans="1:15" x14ac:dyDescent="0.2">
      <c r="A197">
        <v>196</v>
      </c>
      <c r="B197" t="s">
        <v>1914</v>
      </c>
      <c r="C197" t="s">
        <v>712</v>
      </c>
      <c r="D197">
        <v>484</v>
      </c>
      <c r="E197" t="s">
        <v>708</v>
      </c>
      <c r="F197" t="s">
        <v>1911</v>
      </c>
      <c r="G197" t="s">
        <v>1912</v>
      </c>
      <c r="H197">
        <v>612343</v>
      </c>
      <c r="I197">
        <v>72</v>
      </c>
      <c r="J197">
        <v>9.9312328000000001</v>
      </c>
      <c r="K197">
        <v>76.267304100000004</v>
      </c>
      <c r="L197">
        <v>7.9673237800000001</v>
      </c>
      <c r="M197">
        <f t="shared" si="9"/>
        <v>2116.5379439616931</v>
      </c>
      <c r="N197">
        <f t="shared" si="10"/>
        <v>8.6036727354459296E-3</v>
      </c>
      <c r="O197">
        <f t="shared" si="11"/>
        <v>4.2373615043596669E-5</v>
      </c>
    </row>
    <row r="198" spans="1:15" x14ac:dyDescent="0.2">
      <c r="A198">
        <v>197</v>
      </c>
      <c r="B198" t="s">
        <v>723</v>
      </c>
      <c r="C198" t="s">
        <v>723</v>
      </c>
      <c r="D198">
        <v>474</v>
      </c>
      <c r="E198" t="s">
        <v>708</v>
      </c>
      <c r="F198" t="s">
        <v>1911</v>
      </c>
      <c r="G198" t="s">
        <v>1912</v>
      </c>
      <c r="H198">
        <v>349033</v>
      </c>
      <c r="I198">
        <v>127</v>
      </c>
      <c r="J198">
        <v>8.8932117999999996</v>
      </c>
      <c r="K198">
        <v>76.614139600000001</v>
      </c>
      <c r="L198">
        <v>19.204160689999998</v>
      </c>
      <c r="M198">
        <f t="shared" si="9"/>
        <v>2226.6471853908852</v>
      </c>
      <c r="N198">
        <f t="shared" si="10"/>
        <v>7.6735623960113462E-3</v>
      </c>
      <c r="O198">
        <f t="shared" si="11"/>
        <v>4.0268917787021269E-5</v>
      </c>
    </row>
    <row r="199" spans="1:15" x14ac:dyDescent="0.2">
      <c r="A199">
        <v>198</v>
      </c>
      <c r="B199" t="s">
        <v>1915</v>
      </c>
      <c r="C199" t="s">
        <v>712</v>
      </c>
      <c r="D199">
        <v>485</v>
      </c>
      <c r="E199" t="s">
        <v>708</v>
      </c>
      <c r="F199" t="s">
        <v>1911</v>
      </c>
      <c r="G199" t="s">
        <v>1912</v>
      </c>
      <c r="H199">
        <v>114639</v>
      </c>
      <c r="I199">
        <v>397</v>
      </c>
      <c r="J199">
        <v>10.0601903</v>
      </c>
      <c r="K199">
        <v>76.635082699999998</v>
      </c>
      <c r="L199">
        <v>19.785966869999999</v>
      </c>
      <c r="M199">
        <f t="shared" si="9"/>
        <v>2097.4235814094845</v>
      </c>
      <c r="N199">
        <f t="shared" si="10"/>
        <v>8.1185963788759172E-3</v>
      </c>
      <c r="O199">
        <f t="shared" si="11"/>
        <v>4.2749365242684377E-5</v>
      </c>
    </row>
    <row r="200" spans="1:15" x14ac:dyDescent="0.2">
      <c r="A200">
        <v>199</v>
      </c>
      <c r="B200" t="s">
        <v>725</v>
      </c>
      <c r="C200" t="s">
        <v>725</v>
      </c>
      <c r="D200">
        <v>481</v>
      </c>
      <c r="E200" t="s">
        <v>708</v>
      </c>
      <c r="F200" t="s">
        <v>1911</v>
      </c>
      <c r="G200" t="s">
        <v>1912</v>
      </c>
      <c r="H200">
        <v>129894</v>
      </c>
      <c r="I200">
        <v>352</v>
      </c>
      <c r="J200">
        <v>9.5915668000000007</v>
      </c>
      <c r="K200">
        <v>76.522153099999997</v>
      </c>
      <c r="L200">
        <v>27.322849269999999</v>
      </c>
      <c r="M200">
        <f t="shared" si="9"/>
        <v>2150.6048901885633</v>
      </c>
      <c r="N200">
        <f t="shared" si="10"/>
        <v>7.5673813108334698E-3</v>
      </c>
      <c r="O200">
        <f t="shared" si="11"/>
        <v>4.168499061929924E-5</v>
      </c>
    </row>
    <row r="201" spans="1:15" x14ac:dyDescent="0.2">
      <c r="A201">
        <v>200</v>
      </c>
      <c r="B201" t="s">
        <v>731</v>
      </c>
      <c r="C201" t="s">
        <v>731</v>
      </c>
      <c r="D201">
        <v>483</v>
      </c>
      <c r="E201" t="s">
        <v>708</v>
      </c>
      <c r="F201" t="s">
        <v>1911</v>
      </c>
      <c r="G201" t="s">
        <v>1912</v>
      </c>
      <c r="H201">
        <v>101386</v>
      </c>
      <c r="I201">
        <v>458</v>
      </c>
      <c r="J201">
        <v>11.0731819</v>
      </c>
      <c r="K201">
        <v>76.073999900000004</v>
      </c>
      <c r="L201">
        <v>23.61590958</v>
      </c>
      <c r="M201">
        <f t="shared" si="9"/>
        <v>1993.6824074298036</v>
      </c>
      <c r="N201">
        <f t="shared" si="10"/>
        <v>8.3489432218336237E-3</v>
      </c>
      <c r="O201">
        <f t="shared" si="11"/>
        <v>4.4969943337863664E-5</v>
      </c>
    </row>
    <row r="202" spans="1:15" x14ac:dyDescent="0.2">
      <c r="A202">
        <v>201</v>
      </c>
      <c r="B202" t="s">
        <v>1916</v>
      </c>
      <c r="C202" t="s">
        <v>731</v>
      </c>
      <c r="D202">
        <v>483</v>
      </c>
      <c r="E202" t="s">
        <v>708</v>
      </c>
      <c r="F202" t="s">
        <v>1911</v>
      </c>
      <c r="G202" t="s">
        <v>1912</v>
      </c>
      <c r="H202">
        <v>97102</v>
      </c>
      <c r="I202">
        <v>478</v>
      </c>
      <c r="J202">
        <v>11.120298399999999</v>
      </c>
      <c r="K202">
        <v>76.119967700000004</v>
      </c>
      <c r="L202">
        <v>46.153797150000003</v>
      </c>
      <c r="M202">
        <f t="shared" si="9"/>
        <v>1987.7687064322056</v>
      </c>
      <c r="N202">
        <f t="shared" si="10"/>
        <v>7.2399532291816098E-3</v>
      </c>
      <c r="O202">
        <f t="shared" si="11"/>
        <v>4.5076612623777255E-5</v>
      </c>
    </row>
    <row r="203" spans="1:15" x14ac:dyDescent="0.2">
      <c r="A203">
        <v>202</v>
      </c>
      <c r="B203" t="s">
        <v>734</v>
      </c>
      <c r="C203" t="s">
        <v>734</v>
      </c>
      <c r="D203">
        <v>491</v>
      </c>
      <c r="E203" t="s">
        <v>708</v>
      </c>
      <c r="F203" t="s">
        <v>1911</v>
      </c>
      <c r="G203" t="s">
        <v>1912</v>
      </c>
      <c r="H203">
        <v>131019</v>
      </c>
      <c r="I203">
        <v>348</v>
      </c>
      <c r="J203">
        <v>10.7867303</v>
      </c>
      <c r="K203">
        <v>76.6547932</v>
      </c>
      <c r="L203">
        <v>78.250900270000002</v>
      </c>
      <c r="M203">
        <f t="shared" si="9"/>
        <v>2016.9220482626845</v>
      </c>
      <c r="N203">
        <f t="shared" si="10"/>
        <v>5.5439138873173248E-3</v>
      </c>
      <c r="O203">
        <f t="shared" si="11"/>
        <v>4.4368400053306128E-5</v>
      </c>
    </row>
    <row r="204" spans="1:15" x14ac:dyDescent="0.2">
      <c r="A204">
        <v>203</v>
      </c>
      <c r="B204" t="s">
        <v>1917</v>
      </c>
      <c r="C204" t="s">
        <v>731</v>
      </c>
      <c r="D204">
        <v>494</v>
      </c>
      <c r="E204" t="s">
        <v>708</v>
      </c>
      <c r="F204" t="s">
        <v>1911</v>
      </c>
      <c r="G204" t="s">
        <v>1912</v>
      </c>
      <c r="H204">
        <v>90374</v>
      </c>
      <c r="I204">
        <v>509</v>
      </c>
      <c r="J204">
        <v>10.7677201</v>
      </c>
      <c r="K204">
        <v>75.925901300000007</v>
      </c>
      <c r="L204">
        <v>7.5609512329999999</v>
      </c>
      <c r="M204">
        <f t="shared" si="9"/>
        <v>2029.6774890051211</v>
      </c>
      <c r="N204">
        <f t="shared" si="10"/>
        <v>8.9918901675585129E-3</v>
      </c>
      <c r="O204">
        <f t="shared" si="11"/>
        <v>4.4187347551240231E-5</v>
      </c>
    </row>
    <row r="205" spans="1:15" x14ac:dyDescent="0.2">
      <c r="A205">
        <v>204</v>
      </c>
      <c r="B205" t="s">
        <v>1918</v>
      </c>
      <c r="C205" t="s">
        <v>717</v>
      </c>
      <c r="D205">
        <v>490</v>
      </c>
      <c r="E205" t="s">
        <v>708</v>
      </c>
      <c r="F205" t="s">
        <v>1911</v>
      </c>
      <c r="G205" t="s">
        <v>1912</v>
      </c>
      <c r="H205">
        <v>92558</v>
      </c>
      <c r="I205">
        <v>502</v>
      </c>
      <c r="J205">
        <v>11.753287800000001</v>
      </c>
      <c r="K205">
        <v>75.492877699999994</v>
      </c>
      <c r="L205">
        <v>9.5801391599999999</v>
      </c>
      <c r="M205">
        <f t="shared" si="9"/>
        <v>1929.4453251141388</v>
      </c>
      <c r="N205">
        <f t="shared" si="10"/>
        <v>9.354355901705743E-3</v>
      </c>
      <c r="O205">
        <f t="shared" si="11"/>
        <v>4.6481002284614824E-5</v>
      </c>
    </row>
    <row r="206" spans="1:15" x14ac:dyDescent="0.2">
      <c r="A206">
        <v>205</v>
      </c>
      <c r="B206" t="s">
        <v>740</v>
      </c>
      <c r="C206" t="s">
        <v>740</v>
      </c>
      <c r="D206">
        <v>471</v>
      </c>
      <c r="E206" t="s">
        <v>708</v>
      </c>
      <c r="F206" t="s">
        <v>1911</v>
      </c>
      <c r="G206" t="s">
        <v>1912</v>
      </c>
      <c r="H206">
        <v>957730</v>
      </c>
      <c r="I206">
        <v>49</v>
      </c>
      <c r="J206">
        <v>8.5241390999999993</v>
      </c>
      <c r="K206">
        <v>76.936637599999997</v>
      </c>
      <c r="L206">
        <v>21.32456779</v>
      </c>
      <c r="M206">
        <f t="shared" si="9"/>
        <v>2263.947915998941</v>
      </c>
      <c r="N206">
        <f t="shared" si="10"/>
        <v>7.4534733249613742E-3</v>
      </c>
      <c r="O206">
        <f t="shared" si="11"/>
        <v>3.9603587262825243E-5</v>
      </c>
    </row>
    <row r="207" spans="1:15" x14ac:dyDescent="0.2">
      <c r="A207">
        <v>206</v>
      </c>
      <c r="B207" t="s">
        <v>743</v>
      </c>
      <c r="C207" t="s">
        <v>743</v>
      </c>
      <c r="D207">
        <v>487</v>
      </c>
      <c r="E207" t="s">
        <v>708</v>
      </c>
      <c r="F207" t="s">
        <v>1911</v>
      </c>
      <c r="G207" t="s">
        <v>1912</v>
      </c>
      <c r="H207">
        <v>325474</v>
      </c>
      <c r="I207">
        <v>135</v>
      </c>
      <c r="J207">
        <v>10.527641600000001</v>
      </c>
      <c r="K207">
        <v>76.214434900000001</v>
      </c>
      <c r="L207">
        <v>21.02470589</v>
      </c>
      <c r="M207">
        <f t="shared" si="9"/>
        <v>2051.5717086131945</v>
      </c>
      <c r="N207">
        <f t="shared" si="10"/>
        <v>8.2396640195564076E-3</v>
      </c>
      <c r="O207">
        <f t="shared" si="11"/>
        <v>4.3703596011630266E-5</v>
      </c>
    </row>
    <row r="208" spans="1:15" x14ac:dyDescent="0.2">
      <c r="A208">
        <v>207</v>
      </c>
      <c r="B208" t="s">
        <v>750</v>
      </c>
      <c r="C208" t="s">
        <v>749</v>
      </c>
      <c r="D208">
        <v>4896</v>
      </c>
      <c r="E208" t="s">
        <v>749</v>
      </c>
      <c r="F208" t="s">
        <v>1919</v>
      </c>
      <c r="G208" t="s">
        <v>1920</v>
      </c>
      <c r="H208">
        <v>11210</v>
      </c>
      <c r="I208">
        <v>528</v>
      </c>
      <c r="J208">
        <v>10.559320400000001</v>
      </c>
      <c r="K208">
        <v>72.635813400000004</v>
      </c>
      <c r="L208">
        <v>-5.2347583770000004</v>
      </c>
      <c r="M208">
        <f t="shared" si="9"/>
        <v>2133.3726733592212</v>
      </c>
      <c r="N208">
        <f t="shared" si="10"/>
        <v>9.1546161913415806E-3</v>
      </c>
      <c r="O208">
        <f t="shared" si="11"/>
        <v>4.2049208580250982E-5</v>
      </c>
    </row>
    <row r="209" spans="1:15" x14ac:dyDescent="0.2">
      <c r="A209">
        <v>208</v>
      </c>
      <c r="B209" t="s">
        <v>760</v>
      </c>
      <c r="C209" t="s">
        <v>760</v>
      </c>
      <c r="D209">
        <v>7632</v>
      </c>
      <c r="E209" t="s">
        <v>753</v>
      </c>
      <c r="F209" t="s">
        <v>1921</v>
      </c>
      <c r="G209" t="s">
        <v>1922</v>
      </c>
      <c r="H209">
        <v>93231</v>
      </c>
      <c r="I209">
        <v>499</v>
      </c>
      <c r="J209">
        <v>21.812875999999999</v>
      </c>
      <c r="K209">
        <v>80.183829299999999</v>
      </c>
      <c r="L209">
        <v>314.55618290000001</v>
      </c>
      <c r="M209">
        <f t="shared" si="9"/>
        <v>784.42464826182334</v>
      </c>
      <c r="N209">
        <f t="shared" si="10"/>
        <v>-1.5870085339088992E-2</v>
      </c>
      <c r="O209">
        <f t="shared" si="11"/>
        <v>-1.1414705269027511E-4</v>
      </c>
    </row>
    <row r="210" spans="1:15" x14ac:dyDescent="0.2">
      <c r="A210">
        <v>209</v>
      </c>
      <c r="B210" t="s">
        <v>766</v>
      </c>
      <c r="C210" t="s">
        <v>766</v>
      </c>
      <c r="D210">
        <v>7141</v>
      </c>
      <c r="E210" t="s">
        <v>753</v>
      </c>
      <c r="F210" t="s">
        <v>1921</v>
      </c>
      <c r="G210" t="s">
        <v>1922</v>
      </c>
      <c r="H210">
        <v>103341</v>
      </c>
      <c r="I210">
        <v>445</v>
      </c>
      <c r="J210">
        <v>21.910803099999999</v>
      </c>
      <c r="K210">
        <v>77.901184200000003</v>
      </c>
      <c r="L210">
        <v>656.38702390000003</v>
      </c>
      <c r="M210">
        <f t="shared" si="9"/>
        <v>773.12909730230638</v>
      </c>
      <c r="N210">
        <f t="shared" si="10"/>
        <v>-6.031589080363655E-2</v>
      </c>
      <c r="O210">
        <f t="shared" si="11"/>
        <v>-1.1625113125317091E-4</v>
      </c>
    </row>
    <row r="211" spans="1:15" x14ac:dyDescent="0.2">
      <c r="A211">
        <v>210</v>
      </c>
      <c r="B211" t="s">
        <v>768</v>
      </c>
      <c r="C211" t="s">
        <v>768</v>
      </c>
      <c r="D211">
        <v>7534</v>
      </c>
      <c r="E211" t="s">
        <v>753</v>
      </c>
      <c r="F211" t="s">
        <v>1921</v>
      </c>
      <c r="G211" t="s">
        <v>1922</v>
      </c>
      <c r="H211">
        <v>197332</v>
      </c>
      <c r="I211">
        <v>221</v>
      </c>
      <c r="J211">
        <v>26.5587354</v>
      </c>
      <c r="K211">
        <v>78.787287599999999</v>
      </c>
      <c r="L211">
        <v>150.04974369999999</v>
      </c>
      <c r="M211">
        <f t="shared" si="9"/>
        <v>249.12941682589332</v>
      </c>
      <c r="N211">
        <f t="shared" si="10"/>
        <v>1.6062967838104285E-2</v>
      </c>
      <c r="O211">
        <f t="shared" si="11"/>
        <v>3.5551214201951626E-4</v>
      </c>
    </row>
    <row r="212" spans="1:15" x14ac:dyDescent="0.2">
      <c r="A212">
        <v>211</v>
      </c>
      <c r="B212" t="s">
        <v>770</v>
      </c>
      <c r="C212" t="s">
        <v>770</v>
      </c>
      <c r="D212">
        <v>755</v>
      </c>
      <c r="E212" t="s">
        <v>753</v>
      </c>
      <c r="F212" t="s">
        <v>1921</v>
      </c>
      <c r="G212" t="s">
        <v>1922</v>
      </c>
      <c r="H212">
        <v>1883381</v>
      </c>
      <c r="I212">
        <v>19</v>
      </c>
      <c r="J212">
        <v>23.2599333</v>
      </c>
      <c r="K212">
        <v>77.412615000000002</v>
      </c>
      <c r="L212">
        <v>495.22714230000003</v>
      </c>
      <c r="M212">
        <f t="shared" si="9"/>
        <v>635.56727572917919</v>
      </c>
      <c r="N212">
        <f t="shared" si="10"/>
        <v>-4.801377165775151E-2</v>
      </c>
      <c r="O212">
        <f t="shared" si="11"/>
        <v>-1.4131036551404802E-4</v>
      </c>
    </row>
    <row r="213" spans="1:15" x14ac:dyDescent="0.2">
      <c r="A213">
        <v>212</v>
      </c>
      <c r="B213" t="s">
        <v>773</v>
      </c>
      <c r="C213" t="s">
        <v>773</v>
      </c>
      <c r="D213">
        <v>7325</v>
      </c>
      <c r="E213" t="s">
        <v>753</v>
      </c>
      <c r="F213" t="s">
        <v>1921</v>
      </c>
      <c r="G213" t="s">
        <v>1922</v>
      </c>
      <c r="H213">
        <v>210891</v>
      </c>
      <c r="I213">
        <v>205</v>
      </c>
      <c r="J213">
        <v>21.319387500000001</v>
      </c>
      <c r="K213">
        <v>76.222427300000007</v>
      </c>
      <c r="L213">
        <v>249</v>
      </c>
      <c r="M213">
        <f t="shared" si="9"/>
        <v>877.17172746056815</v>
      </c>
      <c r="N213">
        <f t="shared" si="10"/>
        <v>-6.7184881084358956E-3</v>
      </c>
      <c r="O213">
        <f t="shared" si="11"/>
        <v>-1.0149422997432669E-4</v>
      </c>
    </row>
    <row r="214" spans="1:15" x14ac:dyDescent="0.2">
      <c r="A214">
        <v>213</v>
      </c>
      <c r="B214" t="s">
        <v>776</v>
      </c>
      <c r="C214" t="s">
        <v>776</v>
      </c>
      <c r="D214">
        <v>7682</v>
      </c>
      <c r="E214" t="s">
        <v>753</v>
      </c>
      <c r="F214" t="s">
        <v>1921</v>
      </c>
      <c r="G214" t="s">
        <v>1922</v>
      </c>
      <c r="H214">
        <v>147688</v>
      </c>
      <c r="I214">
        <v>300</v>
      </c>
      <c r="J214">
        <v>24.916356199999999</v>
      </c>
      <c r="K214">
        <v>79.581182699999999</v>
      </c>
      <c r="L214">
        <v>306.46539310000003</v>
      </c>
      <c r="M214">
        <f t="shared" si="9"/>
        <v>434.17063619734552</v>
      </c>
      <c r="N214">
        <f t="shared" si="10"/>
        <v>-2.6809291461869635E-2</v>
      </c>
      <c r="O214">
        <f t="shared" si="11"/>
        <v>-2.0615805102573202E-4</v>
      </c>
    </row>
    <row r="215" spans="1:15" x14ac:dyDescent="0.2">
      <c r="A215">
        <v>214</v>
      </c>
      <c r="B215" t="s">
        <v>779</v>
      </c>
      <c r="C215" t="s">
        <v>779</v>
      </c>
      <c r="D215">
        <v>7162</v>
      </c>
      <c r="E215" t="s">
        <v>753</v>
      </c>
      <c r="F215" t="s">
        <v>1921</v>
      </c>
      <c r="G215" t="s">
        <v>1922</v>
      </c>
      <c r="H215">
        <v>190008</v>
      </c>
      <c r="I215">
        <v>231</v>
      </c>
      <c r="J215">
        <v>22.057437</v>
      </c>
      <c r="K215">
        <v>78.938172899999998</v>
      </c>
      <c r="L215">
        <v>686.09332280000001</v>
      </c>
      <c r="M215">
        <f t="shared" si="9"/>
        <v>748.60009989946775</v>
      </c>
      <c r="N215">
        <f t="shared" si="10"/>
        <v>-6.6260477532211551E-2</v>
      </c>
      <c r="O215">
        <f t="shared" si="11"/>
        <v>-1.2007010223379881E-4</v>
      </c>
    </row>
    <row r="216" spans="1:15" x14ac:dyDescent="0.2">
      <c r="A216">
        <v>215</v>
      </c>
      <c r="B216" t="s">
        <v>782</v>
      </c>
      <c r="C216" t="s">
        <v>782</v>
      </c>
      <c r="D216">
        <v>7812</v>
      </c>
      <c r="E216" t="s">
        <v>753</v>
      </c>
      <c r="F216" t="s">
        <v>1921</v>
      </c>
      <c r="G216" t="s">
        <v>1922</v>
      </c>
      <c r="H216">
        <v>147515</v>
      </c>
      <c r="I216">
        <v>301</v>
      </c>
      <c r="J216">
        <v>23.838098599999999</v>
      </c>
      <c r="K216">
        <v>79.442173100000005</v>
      </c>
      <c r="L216">
        <v>378.10028080000001</v>
      </c>
      <c r="M216">
        <f t="shared" si="9"/>
        <v>552.1155944367714</v>
      </c>
      <c r="N216">
        <f t="shared" si="10"/>
        <v>-3.4056810004038686E-2</v>
      </c>
      <c r="O216">
        <f t="shared" si="11"/>
        <v>-1.6245744987457706E-4</v>
      </c>
    </row>
    <row r="217" spans="1:15" x14ac:dyDescent="0.2">
      <c r="A217">
        <v>216</v>
      </c>
      <c r="B217" t="s">
        <v>785</v>
      </c>
      <c r="C217" t="s">
        <v>785</v>
      </c>
      <c r="D217">
        <v>7522</v>
      </c>
      <c r="E217" t="s">
        <v>753</v>
      </c>
      <c r="F217" t="s">
        <v>1921</v>
      </c>
      <c r="G217" t="s">
        <v>1922</v>
      </c>
      <c r="H217">
        <v>100466</v>
      </c>
      <c r="I217">
        <v>463</v>
      </c>
      <c r="J217">
        <v>25.665326199999999</v>
      </c>
      <c r="K217">
        <v>78.460939300000007</v>
      </c>
      <c r="L217">
        <v>258.0890503</v>
      </c>
      <c r="M217">
        <f t="shared" si="9"/>
        <v>351.81636887816978</v>
      </c>
      <c r="N217">
        <f t="shared" si="10"/>
        <v>-1.9334441065633073E-2</v>
      </c>
      <c r="O217">
        <f t="shared" si="11"/>
        <v>-2.5342125244558119E-4</v>
      </c>
    </row>
    <row r="218" spans="1:15" x14ac:dyDescent="0.2">
      <c r="A218">
        <v>217</v>
      </c>
      <c r="B218" t="s">
        <v>788</v>
      </c>
      <c r="C218" t="s">
        <v>788</v>
      </c>
      <c r="D218">
        <v>7272</v>
      </c>
      <c r="E218" t="s">
        <v>753</v>
      </c>
      <c r="F218" t="s">
        <v>1921</v>
      </c>
      <c r="G218" t="s">
        <v>1922</v>
      </c>
      <c r="H218">
        <v>289438</v>
      </c>
      <c r="I218">
        <v>158</v>
      </c>
      <c r="J218">
        <v>22.962267199999999</v>
      </c>
      <c r="K218">
        <v>76.0507949</v>
      </c>
      <c r="L218">
        <v>537.22308350000003</v>
      </c>
      <c r="M218">
        <f t="shared" si="9"/>
        <v>712.90048745062109</v>
      </c>
      <c r="N218">
        <f t="shared" si="10"/>
        <v>-4.8696244119772143E-2</v>
      </c>
      <c r="O218">
        <f t="shared" si="11"/>
        <v>-1.2601331967437507E-4</v>
      </c>
    </row>
    <row r="219" spans="1:15" x14ac:dyDescent="0.2">
      <c r="A219">
        <v>218</v>
      </c>
      <c r="B219" t="s">
        <v>1923</v>
      </c>
      <c r="C219" t="s">
        <v>861</v>
      </c>
      <c r="D219">
        <v>7652</v>
      </c>
      <c r="E219" t="s">
        <v>753</v>
      </c>
      <c r="F219" t="s">
        <v>1921</v>
      </c>
      <c r="G219" t="s">
        <v>1922</v>
      </c>
      <c r="H219">
        <v>94799</v>
      </c>
      <c r="I219">
        <v>494</v>
      </c>
      <c r="J219">
        <v>23.230792699999999</v>
      </c>
      <c r="K219">
        <v>81.469093200000003</v>
      </c>
      <c r="L219">
        <v>457.6452026</v>
      </c>
      <c r="M219">
        <f t="shared" si="9"/>
        <v>664.5274722322672</v>
      </c>
      <c r="N219">
        <f t="shared" si="10"/>
        <v>-4.026588696192767E-2</v>
      </c>
      <c r="O219">
        <f t="shared" si="11"/>
        <v>-1.3511235766835146E-4</v>
      </c>
    </row>
    <row r="220" spans="1:15" x14ac:dyDescent="0.2">
      <c r="A220">
        <v>219</v>
      </c>
      <c r="B220" t="s">
        <v>790</v>
      </c>
      <c r="C220" t="s">
        <v>790</v>
      </c>
      <c r="D220">
        <v>7292</v>
      </c>
      <c r="E220" t="s">
        <v>753</v>
      </c>
      <c r="F220" t="s">
        <v>1921</v>
      </c>
      <c r="G220" t="s">
        <v>1922</v>
      </c>
      <c r="H220">
        <v>93917</v>
      </c>
      <c r="I220">
        <v>498</v>
      </c>
      <c r="J220">
        <v>22.6012922</v>
      </c>
      <c r="K220">
        <v>75.302465499999997</v>
      </c>
      <c r="L220">
        <v>569.39666750000004</v>
      </c>
      <c r="M220">
        <f t="shared" si="9"/>
        <v>782.51577478100876</v>
      </c>
      <c r="N220">
        <f t="shared" si="10"/>
        <v>-4.847561645720911E-2</v>
      </c>
      <c r="O220">
        <f t="shared" si="11"/>
        <v>-1.1482063148407497E-4</v>
      </c>
    </row>
    <row r="221" spans="1:15" x14ac:dyDescent="0.2">
      <c r="A221">
        <v>220</v>
      </c>
      <c r="B221" t="s">
        <v>798</v>
      </c>
      <c r="C221" t="s">
        <v>798</v>
      </c>
      <c r="D221">
        <v>7542</v>
      </c>
      <c r="E221" t="s">
        <v>753</v>
      </c>
      <c r="F221" t="s">
        <v>1921</v>
      </c>
      <c r="G221" t="s">
        <v>1922</v>
      </c>
      <c r="H221">
        <v>180978</v>
      </c>
      <c r="I221">
        <v>241</v>
      </c>
      <c r="J221">
        <v>24.634819700000001</v>
      </c>
      <c r="K221">
        <v>77.297978200000003</v>
      </c>
      <c r="L221">
        <v>481.07461549999999</v>
      </c>
      <c r="M221">
        <f t="shared" si="9"/>
        <v>492.75395355048369</v>
      </c>
      <c r="N221">
        <f t="shared" si="10"/>
        <v>-5.90573229505678E-2</v>
      </c>
      <c r="O221">
        <f t="shared" si="11"/>
        <v>-1.8224737183669497E-4</v>
      </c>
    </row>
    <row r="222" spans="1:15" x14ac:dyDescent="0.2">
      <c r="A222">
        <v>221</v>
      </c>
      <c r="B222" t="s">
        <v>800</v>
      </c>
      <c r="C222" t="s">
        <v>800</v>
      </c>
      <c r="D222">
        <v>751</v>
      </c>
      <c r="E222" t="s">
        <v>753</v>
      </c>
      <c r="F222" t="s">
        <v>1921</v>
      </c>
      <c r="G222" t="s">
        <v>1922</v>
      </c>
      <c r="H222">
        <v>1101981</v>
      </c>
      <c r="I222">
        <v>40</v>
      </c>
      <c r="J222">
        <v>26.218287100000001</v>
      </c>
      <c r="K222">
        <v>78.182830800000005</v>
      </c>
      <c r="L222">
        <v>211.9999847</v>
      </c>
      <c r="M222">
        <f t="shared" si="9"/>
        <v>297.70108307621001</v>
      </c>
      <c r="N222">
        <f t="shared" si="10"/>
        <v>-7.3673440060630698E-3</v>
      </c>
      <c r="O222">
        <f t="shared" si="11"/>
        <v>-2.9354766738333204E-4</v>
      </c>
    </row>
    <row r="223" spans="1:15" x14ac:dyDescent="0.2">
      <c r="A223">
        <v>222</v>
      </c>
      <c r="B223" t="s">
        <v>806</v>
      </c>
      <c r="C223" t="s">
        <v>806</v>
      </c>
      <c r="D223">
        <v>7574</v>
      </c>
      <c r="E223" t="s">
        <v>753</v>
      </c>
      <c r="F223" t="s">
        <v>1921</v>
      </c>
      <c r="G223" t="s">
        <v>1922</v>
      </c>
      <c r="H223">
        <v>117956</v>
      </c>
      <c r="I223">
        <v>383</v>
      </c>
      <c r="J223">
        <v>22.744108000000001</v>
      </c>
      <c r="K223">
        <v>77.736967000000007</v>
      </c>
      <c r="L223">
        <v>307.66375729999999</v>
      </c>
      <c r="M223">
        <f t="shared" si="9"/>
        <v>684.43781703920115</v>
      </c>
      <c r="N223">
        <f t="shared" si="10"/>
        <v>-1.7181463760829081E-2</v>
      </c>
      <c r="O223">
        <f t="shared" si="11"/>
        <v>-1.3078293708753539E-4</v>
      </c>
    </row>
    <row r="224" spans="1:15" x14ac:dyDescent="0.2">
      <c r="A224">
        <v>223</v>
      </c>
      <c r="B224" t="s">
        <v>809</v>
      </c>
      <c r="C224" t="s">
        <v>809</v>
      </c>
      <c r="D224">
        <v>731</v>
      </c>
      <c r="E224" t="s">
        <v>753</v>
      </c>
      <c r="F224" t="s">
        <v>1921</v>
      </c>
      <c r="G224" t="s">
        <v>1922</v>
      </c>
      <c r="H224">
        <v>2167447</v>
      </c>
      <c r="I224">
        <v>15</v>
      </c>
      <c r="J224">
        <v>22.7195687</v>
      </c>
      <c r="K224">
        <v>75.857725799999997</v>
      </c>
      <c r="L224">
        <v>549.17059329999995</v>
      </c>
      <c r="M224">
        <f t="shared" si="9"/>
        <v>745.63423235329833</v>
      </c>
      <c r="N224">
        <f t="shared" si="10"/>
        <v>-4.8160781240774456E-2</v>
      </c>
      <c r="O224">
        <f t="shared" si="11"/>
        <v>-1.2048863120833503E-4</v>
      </c>
    </row>
    <row r="225" spans="1:15" x14ac:dyDescent="0.2">
      <c r="A225">
        <v>224</v>
      </c>
      <c r="B225" t="s">
        <v>1924</v>
      </c>
      <c r="C225" t="s">
        <v>806</v>
      </c>
      <c r="D225">
        <v>7572</v>
      </c>
      <c r="E225" t="s">
        <v>753</v>
      </c>
      <c r="F225" t="s">
        <v>1921</v>
      </c>
      <c r="G225" t="s">
        <v>1922</v>
      </c>
      <c r="H225">
        <v>114430</v>
      </c>
      <c r="I225">
        <v>400</v>
      </c>
      <c r="J225">
        <v>22.6054858</v>
      </c>
      <c r="K225">
        <v>77.753544000000005</v>
      </c>
      <c r="L225">
        <v>323.81906129999999</v>
      </c>
      <c r="M225">
        <f t="shared" si="9"/>
        <v>699.29125275597016</v>
      </c>
      <c r="N225">
        <f t="shared" si="10"/>
        <v>-1.9126757123426364E-2</v>
      </c>
      <c r="O225">
        <f t="shared" si="11"/>
        <v>-1.2808916676694803E-4</v>
      </c>
    </row>
    <row r="226" spans="1:15" x14ac:dyDescent="0.2">
      <c r="A226">
        <v>225</v>
      </c>
      <c r="B226" t="s">
        <v>811</v>
      </c>
      <c r="C226" t="s">
        <v>811</v>
      </c>
      <c r="D226">
        <v>761</v>
      </c>
      <c r="E226" t="s">
        <v>753</v>
      </c>
      <c r="F226" t="s">
        <v>1921</v>
      </c>
      <c r="G226" t="s">
        <v>1922</v>
      </c>
      <c r="H226">
        <v>1267564</v>
      </c>
      <c r="I226">
        <v>31</v>
      </c>
      <c r="J226">
        <v>23.181467000000001</v>
      </c>
      <c r="K226">
        <v>79.986407099999994</v>
      </c>
      <c r="L226">
        <v>422.43554690000002</v>
      </c>
      <c r="M226">
        <f t="shared" si="9"/>
        <v>630.91489578099436</v>
      </c>
      <c r="N226">
        <f t="shared" si="10"/>
        <v>-3.6830359633902285E-2</v>
      </c>
      <c r="O226">
        <f t="shared" si="11"/>
        <v>-1.4225916825054375E-4</v>
      </c>
    </row>
    <row r="227" spans="1:15" x14ac:dyDescent="0.2">
      <c r="A227">
        <v>226</v>
      </c>
      <c r="B227" t="s">
        <v>817</v>
      </c>
      <c r="C227" t="s">
        <v>817</v>
      </c>
      <c r="D227">
        <v>7622</v>
      </c>
      <c r="E227" t="s">
        <v>753</v>
      </c>
      <c r="F227" t="s">
        <v>1921</v>
      </c>
      <c r="G227" t="s">
        <v>1922</v>
      </c>
      <c r="H227">
        <v>221875</v>
      </c>
      <c r="I227">
        <v>197</v>
      </c>
      <c r="J227">
        <v>23.8308453</v>
      </c>
      <c r="K227">
        <v>80.407225499999996</v>
      </c>
      <c r="L227">
        <v>378.8739319</v>
      </c>
      <c r="M227">
        <f t="shared" si="9"/>
        <v>568.29160668529721</v>
      </c>
      <c r="N227">
        <f t="shared" si="10"/>
        <v>-3.3223543666474634E-2</v>
      </c>
      <c r="O227">
        <f t="shared" si="11"/>
        <v>-1.5783541231033761E-4</v>
      </c>
    </row>
    <row r="228" spans="1:15" x14ac:dyDescent="0.2">
      <c r="A228">
        <v>227</v>
      </c>
      <c r="B228" t="s">
        <v>1925</v>
      </c>
      <c r="C228" t="s">
        <v>1925</v>
      </c>
      <c r="D228">
        <v>733</v>
      </c>
      <c r="E228" t="s">
        <v>753</v>
      </c>
      <c r="F228" t="s">
        <v>1921</v>
      </c>
      <c r="G228" t="s">
        <v>1922</v>
      </c>
      <c r="H228">
        <v>200681</v>
      </c>
      <c r="I228">
        <v>216</v>
      </c>
      <c r="J228">
        <v>21.825733400000001</v>
      </c>
      <c r="K228">
        <v>76.352570999999998</v>
      </c>
      <c r="L228">
        <v>309.00378419999998</v>
      </c>
      <c r="M228">
        <f t="shared" si="9"/>
        <v>819.49753978216859</v>
      </c>
      <c r="N228">
        <f t="shared" si="10"/>
        <v>-1.451333977544516E-2</v>
      </c>
      <c r="O228">
        <f t="shared" si="11"/>
        <v>-1.0923556527575399E-4</v>
      </c>
    </row>
    <row r="229" spans="1:15" x14ac:dyDescent="0.2">
      <c r="A229">
        <v>228</v>
      </c>
      <c r="B229" t="s">
        <v>1926</v>
      </c>
      <c r="C229" t="s">
        <v>1926</v>
      </c>
      <c r="D229">
        <v>7282</v>
      </c>
      <c r="E229" t="s">
        <v>753</v>
      </c>
      <c r="F229" t="s">
        <v>1921</v>
      </c>
      <c r="G229" t="s">
        <v>1922</v>
      </c>
      <c r="H229">
        <v>133361</v>
      </c>
      <c r="I229">
        <v>338</v>
      </c>
      <c r="J229">
        <v>21.833524400000002</v>
      </c>
      <c r="K229">
        <v>75.614989300000005</v>
      </c>
      <c r="L229">
        <v>253.424057</v>
      </c>
      <c r="M229">
        <f t="shared" si="9"/>
        <v>845.85102135781017</v>
      </c>
      <c r="N229">
        <f t="shared" si="10"/>
        <v>-7.4902948155451798E-3</v>
      </c>
      <c r="O229">
        <f t="shared" si="11"/>
        <v>-1.0533266117597778E-4</v>
      </c>
    </row>
    <row r="230" spans="1:15" x14ac:dyDescent="0.2">
      <c r="A230">
        <v>229</v>
      </c>
      <c r="B230" t="s">
        <v>823</v>
      </c>
      <c r="C230" t="s">
        <v>823</v>
      </c>
      <c r="D230">
        <v>7422</v>
      </c>
      <c r="E230" t="s">
        <v>753</v>
      </c>
      <c r="F230" t="s">
        <v>1921</v>
      </c>
      <c r="G230" t="s">
        <v>1922</v>
      </c>
      <c r="H230">
        <v>141468</v>
      </c>
      <c r="I230">
        <v>321</v>
      </c>
      <c r="J230">
        <v>24.076836</v>
      </c>
      <c r="K230">
        <v>75.069295199999999</v>
      </c>
      <c r="L230">
        <v>442.16101070000002</v>
      </c>
      <c r="M230">
        <f t="shared" si="9"/>
        <v>655.3958115145432</v>
      </c>
      <c r="N230">
        <f t="shared" si="10"/>
        <v>-3.8464342382268341E-2</v>
      </c>
      <c r="O230">
        <f t="shared" si="11"/>
        <v>-1.3697481721554011E-4</v>
      </c>
    </row>
    <row r="231" spans="1:15" x14ac:dyDescent="0.2">
      <c r="A231">
        <v>230</v>
      </c>
      <c r="B231" t="s">
        <v>826</v>
      </c>
      <c r="C231" t="s">
        <v>826</v>
      </c>
      <c r="D231">
        <v>7532</v>
      </c>
      <c r="E231" t="s">
        <v>753</v>
      </c>
      <c r="F231" t="s">
        <v>1921</v>
      </c>
      <c r="G231" t="s">
        <v>1922</v>
      </c>
      <c r="H231">
        <v>200506</v>
      </c>
      <c r="I231">
        <v>217</v>
      </c>
      <c r="J231">
        <v>26.493356200000001</v>
      </c>
      <c r="K231">
        <v>77.990994900000004</v>
      </c>
      <c r="L231">
        <v>176.6551819</v>
      </c>
      <c r="M231">
        <f t="shared" si="9"/>
        <v>274.85919961641508</v>
      </c>
      <c r="N231">
        <f t="shared" si="10"/>
        <v>4.8796401643887355E-3</v>
      </c>
      <c r="O231">
        <f t="shared" si="11"/>
        <v>3.1192681786587368E-4</v>
      </c>
    </row>
    <row r="232" spans="1:15" x14ac:dyDescent="0.2">
      <c r="A232">
        <v>231</v>
      </c>
      <c r="B232" t="s">
        <v>1927</v>
      </c>
      <c r="C232" t="s">
        <v>877</v>
      </c>
      <c r="D232">
        <v>7366</v>
      </c>
      <c r="E232" t="s">
        <v>753</v>
      </c>
      <c r="F232" t="s">
        <v>1921</v>
      </c>
      <c r="G232" t="s">
        <v>1922</v>
      </c>
      <c r="H232">
        <v>100036</v>
      </c>
      <c r="I232">
        <v>466</v>
      </c>
      <c r="J232">
        <v>23.445459899999999</v>
      </c>
      <c r="K232">
        <v>75.416991800000005</v>
      </c>
      <c r="L232">
        <v>468.07089230000003</v>
      </c>
      <c r="M232">
        <f t="shared" si="9"/>
        <v>694.74751060217136</v>
      </c>
      <c r="N232">
        <f t="shared" si="10"/>
        <v>-4.0015050972840596E-2</v>
      </c>
      <c r="O232">
        <f t="shared" si="11"/>
        <v>-1.2924681591412754E-4</v>
      </c>
    </row>
    <row r="233" spans="1:15" x14ac:dyDescent="0.2">
      <c r="A233">
        <v>232</v>
      </c>
      <c r="B233" t="s">
        <v>831</v>
      </c>
      <c r="C233" t="s">
        <v>831</v>
      </c>
      <c r="D233">
        <v>7423</v>
      </c>
      <c r="E233" t="s">
        <v>753</v>
      </c>
      <c r="F233" t="s">
        <v>1921</v>
      </c>
      <c r="G233" t="s">
        <v>1922</v>
      </c>
      <c r="H233">
        <v>128575</v>
      </c>
      <c r="I233">
        <v>355</v>
      </c>
      <c r="J233">
        <v>24.476385199999999</v>
      </c>
      <c r="K233">
        <v>74.862409200000002</v>
      </c>
      <c r="L233">
        <v>487.52017210000002</v>
      </c>
      <c r="M233">
        <f t="shared" si="9"/>
        <v>633.26036247331717</v>
      </c>
      <c r="N233">
        <f t="shared" si="10"/>
        <v>-4.6971651460742322E-2</v>
      </c>
      <c r="O233">
        <f t="shared" si="11"/>
        <v>-1.4181746508110086E-4</v>
      </c>
    </row>
    <row r="234" spans="1:15" x14ac:dyDescent="0.2">
      <c r="A234">
        <v>233</v>
      </c>
      <c r="B234" t="s">
        <v>1928</v>
      </c>
      <c r="C234" t="s">
        <v>790</v>
      </c>
      <c r="D234">
        <v>7292</v>
      </c>
      <c r="E234" t="s">
        <v>753</v>
      </c>
      <c r="F234" t="s">
        <v>1921</v>
      </c>
      <c r="G234" t="s">
        <v>1922</v>
      </c>
      <c r="H234">
        <v>126099</v>
      </c>
      <c r="I234">
        <v>360</v>
      </c>
      <c r="J234">
        <v>22.613251999999999</v>
      </c>
      <c r="K234">
        <v>75.682289900000001</v>
      </c>
      <c r="L234">
        <v>579.70660399999997</v>
      </c>
      <c r="M234">
        <f t="shared" si="9"/>
        <v>763.93553981416278</v>
      </c>
      <c r="N234">
        <f t="shared" si="10"/>
        <v>-5.100420937279404E-2</v>
      </c>
      <c r="O234">
        <f t="shared" si="11"/>
        <v>-1.1761849969966316E-4</v>
      </c>
    </row>
    <row r="235" spans="1:15" x14ac:dyDescent="0.2">
      <c r="A235">
        <v>234</v>
      </c>
      <c r="B235" t="s">
        <v>843</v>
      </c>
      <c r="C235" t="s">
        <v>843</v>
      </c>
      <c r="D235">
        <v>7412</v>
      </c>
      <c r="E235" t="s">
        <v>753</v>
      </c>
      <c r="F235" t="s">
        <v>1921</v>
      </c>
      <c r="G235" t="s">
        <v>1922</v>
      </c>
      <c r="H235">
        <v>273892</v>
      </c>
      <c r="I235">
        <v>165</v>
      </c>
      <c r="J235">
        <v>23.334169599999999</v>
      </c>
      <c r="K235">
        <v>75.037632500000001</v>
      </c>
      <c r="L235">
        <v>486.08035280000001</v>
      </c>
      <c r="M235">
        <f t="shared" si="9"/>
        <v>725.50575369095372</v>
      </c>
      <c r="N235">
        <f t="shared" si="10"/>
        <v>-4.0800921218619821E-2</v>
      </c>
      <c r="O235">
        <f t="shared" si="11"/>
        <v>-1.2378460401988396E-4</v>
      </c>
    </row>
    <row r="236" spans="1:15" x14ac:dyDescent="0.2">
      <c r="A236">
        <v>235</v>
      </c>
      <c r="B236" t="s">
        <v>846</v>
      </c>
      <c r="C236" t="s">
        <v>846</v>
      </c>
      <c r="D236">
        <v>7662</v>
      </c>
      <c r="E236" t="s">
        <v>753</v>
      </c>
      <c r="F236" t="s">
        <v>1921</v>
      </c>
      <c r="G236" t="s">
        <v>1922</v>
      </c>
      <c r="H236">
        <v>235422</v>
      </c>
      <c r="I236">
        <v>187</v>
      </c>
      <c r="J236">
        <v>24.537292699999998</v>
      </c>
      <c r="K236">
        <v>81.304180000000002</v>
      </c>
      <c r="L236">
        <v>306.77169800000001</v>
      </c>
      <c r="M236">
        <f t="shared" si="9"/>
        <v>524.20967665451792</v>
      </c>
      <c r="N236">
        <f t="shared" si="10"/>
        <v>-2.2262919094664942E-2</v>
      </c>
      <c r="O236">
        <f t="shared" si="11"/>
        <v>-1.7075049928699451E-4</v>
      </c>
    </row>
    <row r="237" spans="1:15" x14ac:dyDescent="0.2">
      <c r="A237">
        <v>236</v>
      </c>
      <c r="B237" t="s">
        <v>849</v>
      </c>
      <c r="C237" t="s">
        <v>849</v>
      </c>
      <c r="D237">
        <v>7582</v>
      </c>
      <c r="E237" t="s">
        <v>753</v>
      </c>
      <c r="F237" t="s">
        <v>1921</v>
      </c>
      <c r="G237" t="s">
        <v>1922</v>
      </c>
      <c r="H237">
        <v>370296</v>
      </c>
      <c r="I237">
        <v>119</v>
      </c>
      <c r="J237">
        <v>23.838805000000001</v>
      </c>
      <c r="K237">
        <v>78.737806800000001</v>
      </c>
      <c r="L237">
        <v>522.56951900000001</v>
      </c>
      <c r="M237">
        <f t="shared" si="9"/>
        <v>551.21310940761475</v>
      </c>
      <c r="N237">
        <f t="shared" si="10"/>
        <v>-6.0321895746880551E-2</v>
      </c>
      <c r="O237">
        <f t="shared" si="11"/>
        <v>-1.6296361968040006E-4</v>
      </c>
    </row>
    <row r="238" spans="1:15" x14ac:dyDescent="0.2">
      <c r="A238">
        <v>237</v>
      </c>
      <c r="B238" t="s">
        <v>852</v>
      </c>
      <c r="C238" t="s">
        <v>852</v>
      </c>
      <c r="D238">
        <v>7672</v>
      </c>
      <c r="E238" t="s">
        <v>753</v>
      </c>
      <c r="F238" t="s">
        <v>1921</v>
      </c>
      <c r="G238" t="s">
        <v>1922</v>
      </c>
      <c r="H238">
        <v>283004</v>
      </c>
      <c r="I238">
        <v>162</v>
      </c>
      <c r="J238">
        <v>24.600507499999999</v>
      </c>
      <c r="K238">
        <v>80.832242800000003</v>
      </c>
      <c r="L238">
        <v>325.5716248</v>
      </c>
      <c r="M238">
        <f t="shared" si="9"/>
        <v>499.153019161565</v>
      </c>
      <c r="N238">
        <f t="shared" si="10"/>
        <v>-2.7146846317309396E-2</v>
      </c>
      <c r="O238">
        <f t="shared" si="11"/>
        <v>-1.7945834360124949E-4</v>
      </c>
    </row>
    <row r="239" spans="1:15" x14ac:dyDescent="0.2">
      <c r="A239">
        <v>238</v>
      </c>
      <c r="B239" t="s">
        <v>855</v>
      </c>
      <c r="C239" t="s">
        <v>855</v>
      </c>
      <c r="D239">
        <v>7562</v>
      </c>
      <c r="E239" t="s">
        <v>753</v>
      </c>
      <c r="F239" t="s">
        <v>1921</v>
      </c>
      <c r="G239" t="s">
        <v>1922</v>
      </c>
      <c r="H239">
        <v>109025</v>
      </c>
      <c r="I239">
        <v>420</v>
      </c>
      <c r="J239">
        <v>23.205012</v>
      </c>
      <c r="K239">
        <v>77.085078100000004</v>
      </c>
      <c r="L239">
        <v>495.46264650000001</v>
      </c>
      <c r="M239">
        <f t="shared" si="9"/>
        <v>650.46883614481146</v>
      </c>
      <c r="N239">
        <f t="shared" si="10"/>
        <v>-4.6950031689452214E-2</v>
      </c>
      <c r="O239">
        <f t="shared" si="11"/>
        <v>-1.3807331548804826E-4</v>
      </c>
    </row>
    <row r="240" spans="1:15" x14ac:dyDescent="0.2">
      <c r="A240">
        <v>239</v>
      </c>
      <c r="B240" t="s">
        <v>858</v>
      </c>
      <c r="C240" t="s">
        <v>858</v>
      </c>
      <c r="D240">
        <v>7692</v>
      </c>
      <c r="E240" t="s">
        <v>753</v>
      </c>
      <c r="F240" t="s">
        <v>1921</v>
      </c>
      <c r="G240" t="s">
        <v>1922</v>
      </c>
      <c r="H240">
        <v>102377</v>
      </c>
      <c r="I240">
        <v>450</v>
      </c>
      <c r="J240">
        <v>22.086869100000001</v>
      </c>
      <c r="K240">
        <v>79.543484100000001</v>
      </c>
      <c r="L240">
        <v>612</v>
      </c>
      <c r="M240">
        <f t="shared" si="9"/>
        <v>747.08993049643686</v>
      </c>
      <c r="N240">
        <f t="shared" si="10"/>
        <v>-5.6476825744342214E-2</v>
      </c>
      <c r="O240">
        <f t="shared" si="11"/>
        <v>-1.2028566164981953E-4</v>
      </c>
    </row>
    <row r="241" spans="1:15" x14ac:dyDescent="0.2">
      <c r="A241">
        <v>240</v>
      </c>
      <c r="B241" t="s">
        <v>869</v>
      </c>
      <c r="C241" t="s">
        <v>869</v>
      </c>
      <c r="D241">
        <v>7492</v>
      </c>
      <c r="E241" t="s">
        <v>753</v>
      </c>
      <c r="F241" t="s">
        <v>1921</v>
      </c>
      <c r="G241" t="s">
        <v>1922</v>
      </c>
      <c r="H241">
        <v>179972</v>
      </c>
      <c r="I241">
        <v>242</v>
      </c>
      <c r="J241">
        <v>25.4357869</v>
      </c>
      <c r="K241">
        <v>77.665065999999996</v>
      </c>
      <c r="L241">
        <v>469.52227779999998</v>
      </c>
      <c r="M241">
        <f t="shared" si="9"/>
        <v>396.42994940379447</v>
      </c>
      <c r="N241">
        <f t="shared" si="10"/>
        <v>-7.0492897022609552E-2</v>
      </c>
      <c r="O241">
        <f t="shared" si="11"/>
        <v>-2.2650905695639919E-4</v>
      </c>
    </row>
    <row r="242" spans="1:15" x14ac:dyDescent="0.2">
      <c r="A242">
        <v>241</v>
      </c>
      <c r="B242" t="s">
        <v>1929</v>
      </c>
      <c r="C242" t="s">
        <v>1929</v>
      </c>
      <c r="D242">
        <v>7805</v>
      </c>
      <c r="E242" t="s">
        <v>753</v>
      </c>
      <c r="F242" t="s">
        <v>1921</v>
      </c>
      <c r="G242" t="s">
        <v>1922</v>
      </c>
      <c r="H242">
        <v>220295</v>
      </c>
      <c r="I242">
        <v>199</v>
      </c>
      <c r="J242">
        <v>24.200261000000001</v>
      </c>
      <c r="K242">
        <v>82.663989000000001</v>
      </c>
      <c r="L242">
        <v>392.94561770000001</v>
      </c>
      <c r="M242">
        <f t="shared" si="9"/>
        <v>625.62105149642127</v>
      </c>
      <c r="N242">
        <f t="shared" si="10"/>
        <v>-3.2428303909329131E-2</v>
      </c>
      <c r="O242">
        <f t="shared" si="11"/>
        <v>-1.434056407436111E-4</v>
      </c>
    </row>
    <row r="243" spans="1:15" x14ac:dyDescent="0.2">
      <c r="A243">
        <v>242</v>
      </c>
      <c r="B243" t="s">
        <v>877</v>
      </c>
      <c r="C243" t="s">
        <v>877</v>
      </c>
      <c r="D243">
        <v>734</v>
      </c>
      <c r="E243" t="s">
        <v>753</v>
      </c>
      <c r="F243" t="s">
        <v>1921</v>
      </c>
      <c r="G243" t="s">
        <v>1922</v>
      </c>
      <c r="H243">
        <v>515215</v>
      </c>
      <c r="I243">
        <v>86</v>
      </c>
      <c r="J243">
        <v>23.179301299999999</v>
      </c>
      <c r="K243">
        <v>75.7849097</v>
      </c>
      <c r="L243">
        <v>492.84292599999998</v>
      </c>
      <c r="M243">
        <f t="shared" si="9"/>
        <v>702.75593233870802</v>
      </c>
      <c r="N243">
        <f t="shared" si="10"/>
        <v>-4.3084033910946895E-2</v>
      </c>
      <c r="O243">
        <f t="shared" si="11"/>
        <v>-1.2779794723826081E-4</v>
      </c>
    </row>
    <row r="244" spans="1:15" x14ac:dyDescent="0.2">
      <c r="A244">
        <v>243</v>
      </c>
      <c r="B244" t="s">
        <v>883</v>
      </c>
      <c r="C244" t="s">
        <v>883</v>
      </c>
      <c r="D244">
        <v>7592</v>
      </c>
      <c r="E244" t="s">
        <v>753</v>
      </c>
      <c r="F244" t="s">
        <v>1921</v>
      </c>
      <c r="G244" t="s">
        <v>1922</v>
      </c>
      <c r="H244">
        <v>155959</v>
      </c>
      <c r="I244">
        <v>279</v>
      </c>
      <c r="J244">
        <v>23.5251102</v>
      </c>
      <c r="K244">
        <v>77.808136300000001</v>
      </c>
      <c r="L244">
        <v>429</v>
      </c>
      <c r="M244">
        <f t="shared" si="9"/>
        <v>597.80257831036158</v>
      </c>
      <c r="N244">
        <f t="shared" si="10"/>
        <v>-3.9968492420243987E-2</v>
      </c>
      <c r="O244">
        <f t="shared" si="11"/>
        <v>-1.5015024326590042E-4</v>
      </c>
    </row>
    <row r="245" spans="1:15" x14ac:dyDescent="0.2">
      <c r="A245">
        <v>244</v>
      </c>
      <c r="B245" t="s">
        <v>1930</v>
      </c>
      <c r="C245" t="s">
        <v>895</v>
      </c>
      <c r="D245">
        <v>7223</v>
      </c>
      <c r="E245" t="s">
        <v>888</v>
      </c>
      <c r="F245" t="s">
        <v>1931</v>
      </c>
      <c r="G245" t="s">
        <v>1932</v>
      </c>
      <c r="H245">
        <v>112293</v>
      </c>
      <c r="I245">
        <v>406</v>
      </c>
      <c r="J245">
        <v>21.257584000000001</v>
      </c>
      <c r="K245">
        <v>77.508675400000001</v>
      </c>
      <c r="L245">
        <v>375.43765259999998</v>
      </c>
      <c r="M245">
        <f t="shared" si="9"/>
        <v>851.2770837668196</v>
      </c>
      <c r="N245">
        <f t="shared" si="10"/>
        <v>-2.1775557492955643E-2</v>
      </c>
      <c r="O245">
        <f t="shared" si="11"/>
        <v>-1.0536042438048885E-4</v>
      </c>
    </row>
    <row r="246" spans="1:15" x14ac:dyDescent="0.2">
      <c r="A246">
        <v>245</v>
      </c>
      <c r="B246" t="s">
        <v>889</v>
      </c>
      <c r="C246" t="s">
        <v>889</v>
      </c>
      <c r="D246">
        <v>241</v>
      </c>
      <c r="E246" t="s">
        <v>888</v>
      </c>
      <c r="F246" t="s">
        <v>1931</v>
      </c>
      <c r="G246" t="s">
        <v>1932</v>
      </c>
      <c r="H246">
        <v>350000</v>
      </c>
      <c r="I246">
        <v>126</v>
      </c>
      <c r="J246">
        <v>19.095207500000001</v>
      </c>
      <c r="K246">
        <v>74.749591600000002</v>
      </c>
      <c r="L246">
        <v>657.41149900000005</v>
      </c>
      <c r="M246">
        <f t="shared" si="9"/>
        <v>1161.892533442825</v>
      </c>
      <c r="N246">
        <f t="shared" si="10"/>
        <v>-4.0222668082322895E-2</v>
      </c>
      <c r="O246">
        <f t="shared" si="11"/>
        <v>-7.7354315411757237E-5</v>
      </c>
    </row>
    <row r="247" spans="1:15" x14ac:dyDescent="0.2">
      <c r="A247">
        <v>246</v>
      </c>
      <c r="B247" t="s">
        <v>892</v>
      </c>
      <c r="C247" t="s">
        <v>892</v>
      </c>
      <c r="D247">
        <v>724</v>
      </c>
      <c r="E247" t="s">
        <v>888</v>
      </c>
      <c r="F247" t="s">
        <v>1931</v>
      </c>
      <c r="G247" t="s">
        <v>1932</v>
      </c>
      <c r="H247">
        <v>427618</v>
      </c>
      <c r="I247">
        <v>104</v>
      </c>
      <c r="J247">
        <v>20.705934500000001</v>
      </c>
      <c r="K247">
        <v>77.021901900000003</v>
      </c>
      <c r="L247">
        <v>288.27471919999999</v>
      </c>
      <c r="M247">
        <f t="shared" si="9"/>
        <v>921.24779275026754</v>
      </c>
      <c r="N247">
        <f t="shared" si="10"/>
        <v>-1.0660258637560949E-2</v>
      </c>
      <c r="O247">
        <f t="shared" si="11"/>
        <v>-9.7060318340225907E-5</v>
      </c>
    </row>
    <row r="248" spans="1:15" x14ac:dyDescent="0.2">
      <c r="A248">
        <v>247</v>
      </c>
      <c r="B248" t="s">
        <v>1933</v>
      </c>
      <c r="C248" t="s">
        <v>892</v>
      </c>
      <c r="D248">
        <v>7258</v>
      </c>
      <c r="E248" t="s">
        <v>888</v>
      </c>
      <c r="F248" t="s">
        <v>1931</v>
      </c>
      <c r="G248" t="s">
        <v>1932</v>
      </c>
      <c r="H248">
        <v>92637</v>
      </c>
      <c r="I248">
        <v>500</v>
      </c>
      <c r="J248">
        <v>21.0973361</v>
      </c>
      <c r="K248">
        <v>77.053567999999999</v>
      </c>
      <c r="L248">
        <v>309.52722169999998</v>
      </c>
      <c r="M248">
        <f t="shared" si="9"/>
        <v>878.04266275225166</v>
      </c>
      <c r="N248">
        <f t="shared" si="10"/>
        <v>-1.36052500598945E-2</v>
      </c>
      <c r="O248">
        <f t="shared" si="11"/>
        <v>-1.0195448520311048E-4</v>
      </c>
    </row>
    <row r="249" spans="1:15" x14ac:dyDescent="0.2">
      <c r="A249">
        <v>248</v>
      </c>
      <c r="B249" t="s">
        <v>1934</v>
      </c>
      <c r="C249" t="s">
        <v>927</v>
      </c>
      <c r="D249">
        <v>2587</v>
      </c>
      <c r="E249" t="s">
        <v>888</v>
      </c>
      <c r="F249" t="s">
        <v>1931</v>
      </c>
      <c r="G249" t="s">
        <v>1932</v>
      </c>
      <c r="H249">
        <v>96000</v>
      </c>
      <c r="I249">
        <v>484</v>
      </c>
      <c r="J249">
        <v>21.0419208</v>
      </c>
      <c r="K249">
        <v>75.058194299999997</v>
      </c>
      <c r="L249">
        <v>189.4182587</v>
      </c>
      <c r="M249">
        <f t="shared" si="9"/>
        <v>949.6008574216828</v>
      </c>
      <c r="N249">
        <f t="shared" si="10"/>
        <v>6.8351149319969648E-5</v>
      </c>
      <c r="O249">
        <f t="shared" si="11"/>
        <v>3.4736820706504602E-5</v>
      </c>
    </row>
    <row r="250" spans="1:15" x14ac:dyDescent="0.2">
      <c r="A250">
        <v>249</v>
      </c>
      <c r="B250" t="s">
        <v>895</v>
      </c>
      <c r="C250" t="s">
        <v>895</v>
      </c>
      <c r="D250">
        <v>721</v>
      </c>
      <c r="E250" t="s">
        <v>888</v>
      </c>
      <c r="F250" t="s">
        <v>1931</v>
      </c>
      <c r="G250" t="s">
        <v>1932</v>
      </c>
      <c r="H250">
        <v>646801</v>
      </c>
      <c r="I250">
        <v>69</v>
      </c>
      <c r="J250">
        <v>20.937423800000001</v>
      </c>
      <c r="K250">
        <v>77.779551299999994</v>
      </c>
      <c r="L250">
        <v>366.33306879999998</v>
      </c>
      <c r="M250">
        <f t="shared" si="9"/>
        <v>882.06075286357998</v>
      </c>
      <c r="N250">
        <f t="shared" si="10"/>
        <v>-1.9983402098751053E-2</v>
      </c>
      <c r="O250">
        <f t="shared" si="11"/>
        <v>-1.0166527623070267E-4</v>
      </c>
    </row>
    <row r="251" spans="1:15" x14ac:dyDescent="0.2">
      <c r="A251">
        <v>250</v>
      </c>
      <c r="B251" t="s">
        <v>193</v>
      </c>
      <c r="C251" t="s">
        <v>193</v>
      </c>
      <c r="D251">
        <v>240</v>
      </c>
      <c r="E251" t="s">
        <v>888</v>
      </c>
      <c r="F251" t="s">
        <v>1931</v>
      </c>
      <c r="G251" t="s">
        <v>1932</v>
      </c>
      <c r="H251">
        <v>1171330</v>
      </c>
      <c r="I251">
        <v>36</v>
      </c>
      <c r="J251">
        <v>19.8761653</v>
      </c>
      <c r="K251">
        <v>75.343313899999998</v>
      </c>
      <c r="L251">
        <v>594.76373290000004</v>
      </c>
      <c r="M251">
        <f t="shared" si="9"/>
        <v>1058.748591940845</v>
      </c>
      <c r="N251">
        <f t="shared" si="10"/>
        <v>-3.8224032993340824E-2</v>
      </c>
      <c r="O251">
        <f t="shared" si="11"/>
        <v>-8.4872295259747407E-5</v>
      </c>
    </row>
    <row r="252" spans="1:15" x14ac:dyDescent="0.2">
      <c r="A252">
        <v>251</v>
      </c>
      <c r="B252" t="s">
        <v>1935</v>
      </c>
      <c r="C252" t="s">
        <v>969</v>
      </c>
      <c r="D252">
        <v>2184</v>
      </c>
      <c r="E252" t="s">
        <v>888</v>
      </c>
      <c r="F252" t="s">
        <v>1931</v>
      </c>
      <c r="G252" t="s">
        <v>1932</v>
      </c>
      <c r="H252">
        <v>104786</v>
      </c>
      <c r="I252">
        <v>440</v>
      </c>
      <c r="J252">
        <v>18.233385599999998</v>
      </c>
      <c r="K252">
        <v>75.694147799999996</v>
      </c>
      <c r="L252">
        <v>516.88507079999999</v>
      </c>
      <c r="M252">
        <f t="shared" si="9"/>
        <v>1221.6989138982267</v>
      </c>
      <c r="N252">
        <f t="shared" si="10"/>
        <v>-2.6751087791113928E-2</v>
      </c>
      <c r="O252">
        <f t="shared" si="11"/>
        <v>-7.3524405534060715E-5</v>
      </c>
    </row>
    <row r="253" spans="1:15" x14ac:dyDescent="0.2">
      <c r="A253">
        <v>252</v>
      </c>
      <c r="B253" t="s">
        <v>1936</v>
      </c>
      <c r="C253" t="s">
        <v>1936</v>
      </c>
      <c r="D253">
        <v>2442</v>
      </c>
      <c r="E253" t="s">
        <v>888</v>
      </c>
      <c r="F253" t="s">
        <v>1931</v>
      </c>
      <c r="G253" t="s">
        <v>1932</v>
      </c>
      <c r="H253">
        <v>146709</v>
      </c>
      <c r="I253">
        <v>304</v>
      </c>
      <c r="J253">
        <v>18.9890893</v>
      </c>
      <c r="K253">
        <v>75.760078500000006</v>
      </c>
      <c r="L253">
        <v>514.0663452</v>
      </c>
      <c r="M253">
        <f t="shared" si="9"/>
        <v>1138.9775788516306</v>
      </c>
      <c r="N253">
        <f t="shared" si="10"/>
        <v>-2.8446479493184636E-2</v>
      </c>
      <c r="O253">
        <f t="shared" si="11"/>
        <v>-7.8862975769374431E-5</v>
      </c>
    </row>
    <row r="254" spans="1:15" x14ac:dyDescent="0.2">
      <c r="A254">
        <v>253</v>
      </c>
      <c r="B254" t="s">
        <v>900</v>
      </c>
      <c r="C254" t="s">
        <v>900</v>
      </c>
      <c r="D254">
        <v>7184</v>
      </c>
      <c r="E254" t="s">
        <v>888</v>
      </c>
      <c r="F254" t="s">
        <v>1931</v>
      </c>
      <c r="G254" t="s">
        <v>1932</v>
      </c>
      <c r="H254">
        <v>91845</v>
      </c>
      <c r="I254">
        <v>507</v>
      </c>
      <c r="J254">
        <v>21.175011300000001</v>
      </c>
      <c r="K254">
        <v>79.655824199999998</v>
      </c>
      <c r="L254">
        <v>259.72808839999999</v>
      </c>
      <c r="M254">
        <f t="shared" si="9"/>
        <v>849.04931232048511</v>
      </c>
      <c r="N254">
        <f t="shared" si="10"/>
        <v>-8.2045607468445355E-3</v>
      </c>
      <c r="O254">
        <f t="shared" si="11"/>
        <v>-1.0503224969747066E-4</v>
      </c>
    </row>
    <row r="255" spans="1:15" x14ac:dyDescent="0.2">
      <c r="A255">
        <v>254</v>
      </c>
      <c r="B255" t="s">
        <v>1937</v>
      </c>
      <c r="C255" t="s">
        <v>972</v>
      </c>
      <c r="D255">
        <v>2522</v>
      </c>
      <c r="E255" t="s">
        <v>888</v>
      </c>
      <c r="F255" t="s">
        <v>1931</v>
      </c>
      <c r="G255" t="s">
        <v>1932</v>
      </c>
      <c r="H255">
        <v>711329</v>
      </c>
      <c r="I255">
        <v>63</v>
      </c>
      <c r="J255">
        <v>19.281254700000002</v>
      </c>
      <c r="K255">
        <v>73.048291199999994</v>
      </c>
      <c r="L255">
        <v>13.543932910000001</v>
      </c>
      <c r="M255">
        <f t="shared" si="9"/>
        <v>1218.5051729131956</v>
      </c>
      <c r="N255">
        <f t="shared" si="10"/>
        <v>1.4486880549548168E-2</v>
      </c>
      <c r="O255">
        <f t="shared" si="11"/>
        <v>7.3594619454081468E-5</v>
      </c>
    </row>
    <row r="256" spans="1:15" x14ac:dyDescent="0.2">
      <c r="A256">
        <v>255</v>
      </c>
      <c r="B256" t="s">
        <v>1938</v>
      </c>
      <c r="C256" t="s">
        <v>927</v>
      </c>
      <c r="D256">
        <v>2582</v>
      </c>
      <c r="E256" t="s">
        <v>888</v>
      </c>
      <c r="F256" t="s">
        <v>1931</v>
      </c>
      <c r="G256" t="s">
        <v>1932</v>
      </c>
      <c r="H256">
        <v>204016</v>
      </c>
      <c r="I256">
        <v>210</v>
      </c>
      <c r="J256">
        <v>21.045520400000001</v>
      </c>
      <c r="K256">
        <v>75.801096200000003</v>
      </c>
      <c r="L256">
        <v>210.7913361</v>
      </c>
      <c r="M256">
        <f t="shared" si="9"/>
        <v>920.2529896625698</v>
      </c>
      <c r="N256">
        <f t="shared" si="10"/>
        <v>-2.2519909777852379E-3</v>
      </c>
      <c r="O256">
        <f t="shared" si="11"/>
        <v>-9.4797234077068405E-5</v>
      </c>
    </row>
    <row r="257" spans="1:15" x14ac:dyDescent="0.2">
      <c r="A257">
        <v>256</v>
      </c>
      <c r="B257" t="s">
        <v>1939</v>
      </c>
      <c r="C257" t="s">
        <v>927</v>
      </c>
      <c r="D257">
        <v>2589</v>
      </c>
      <c r="E257" t="s">
        <v>888</v>
      </c>
      <c r="F257" t="s">
        <v>1931</v>
      </c>
      <c r="G257" t="s">
        <v>1932</v>
      </c>
      <c r="H257">
        <v>97551</v>
      </c>
      <c r="I257">
        <v>476</v>
      </c>
      <c r="J257">
        <v>20.464077799999998</v>
      </c>
      <c r="K257">
        <v>74.996854299999995</v>
      </c>
      <c r="L257">
        <v>348.22177119999998</v>
      </c>
      <c r="M257">
        <f t="shared" si="9"/>
        <v>1011.0673710038421</v>
      </c>
      <c r="N257">
        <f t="shared" si="10"/>
        <v>-1.5642325520106113E-2</v>
      </c>
      <c r="O257">
        <f t="shared" si="11"/>
        <v>-8.8656532708692045E-5</v>
      </c>
    </row>
    <row r="258" spans="1:15" x14ac:dyDescent="0.2">
      <c r="A258">
        <v>257</v>
      </c>
      <c r="B258" t="s">
        <v>909</v>
      </c>
      <c r="C258" t="s">
        <v>909</v>
      </c>
      <c r="D258">
        <v>7172</v>
      </c>
      <c r="E258" t="s">
        <v>888</v>
      </c>
      <c r="F258" t="s">
        <v>1931</v>
      </c>
      <c r="G258" t="s">
        <v>1932</v>
      </c>
      <c r="H258">
        <v>325000</v>
      </c>
      <c r="I258">
        <v>136</v>
      </c>
      <c r="J258">
        <v>19.970459699999999</v>
      </c>
      <c r="K258">
        <v>79.301484500000001</v>
      </c>
      <c r="L258">
        <v>205.01416019999999</v>
      </c>
      <c r="M258">
        <f t="shared" si="9"/>
        <v>981.00935183044146</v>
      </c>
      <c r="N258">
        <f t="shared" si="10"/>
        <v>-1.5236183398365214E-3</v>
      </c>
      <c r="O258">
        <f t="shared" si="11"/>
        <v>-8.7840548810516237E-5</v>
      </c>
    </row>
    <row r="259" spans="1:15" x14ac:dyDescent="0.2">
      <c r="A259">
        <v>258</v>
      </c>
      <c r="B259" t="s">
        <v>912</v>
      </c>
      <c r="C259" t="s">
        <v>912</v>
      </c>
      <c r="D259">
        <v>2562</v>
      </c>
      <c r="E259" t="s">
        <v>888</v>
      </c>
      <c r="F259" t="s">
        <v>1931</v>
      </c>
      <c r="G259" t="s">
        <v>1932</v>
      </c>
      <c r="H259">
        <v>380000</v>
      </c>
      <c r="I259">
        <v>115</v>
      </c>
      <c r="J259">
        <v>20.9042201</v>
      </c>
      <c r="K259">
        <v>74.774897899999999</v>
      </c>
      <c r="L259">
        <v>263.15832519999998</v>
      </c>
      <c r="M259">
        <f t="shared" ref="M259:M322" si="12">2*6371*ASIN(SQRT(
    SIN(RADIANS(J259-$V$6)/2)^2 +
    COS(RADIANS($V$6)) * COS(RADIANS(J259)) *
    SIN(RADIANS(K259-$V$7)/2)^2
))</f>
        <v>975.785111105091</v>
      </c>
      <c r="N259">
        <f t="shared" ref="N259:N322" si="13">($V$5-L259)/(M259*1000)*100</f>
        <v>-7.4904815177209809E-3</v>
      </c>
      <c r="O259">
        <f t="shared" ref="O259:O322" si="14">DEGREES(ATAN($V$5-L259)/(M259*1000))</f>
        <v>-9.143012269922209E-5</v>
      </c>
    </row>
    <row r="260" spans="1:15" x14ac:dyDescent="0.2">
      <c r="A260">
        <v>259</v>
      </c>
      <c r="B260" t="s">
        <v>1940</v>
      </c>
      <c r="C260" t="s">
        <v>1940</v>
      </c>
      <c r="D260">
        <v>7182</v>
      </c>
      <c r="E260" t="s">
        <v>888</v>
      </c>
      <c r="F260" t="s">
        <v>1931</v>
      </c>
      <c r="G260" t="s">
        <v>1932</v>
      </c>
      <c r="H260">
        <v>132821</v>
      </c>
      <c r="I260">
        <v>343</v>
      </c>
      <c r="J260">
        <v>21.462449100000001</v>
      </c>
      <c r="K260">
        <v>80.220977300000001</v>
      </c>
      <c r="L260">
        <v>309.08450319999997</v>
      </c>
      <c r="M260">
        <f t="shared" si="12"/>
        <v>823.53875232067981</v>
      </c>
      <c r="N260">
        <f t="shared" si="13"/>
        <v>-1.4451922397654891E-2</v>
      </c>
      <c r="O260">
        <f t="shared" si="14"/>
        <v>-1.0869992874452943E-4</v>
      </c>
    </row>
    <row r="261" spans="1:15" x14ac:dyDescent="0.2">
      <c r="A261">
        <v>260</v>
      </c>
      <c r="B261" t="s">
        <v>1941</v>
      </c>
      <c r="C261" t="s">
        <v>975</v>
      </c>
      <c r="D261">
        <v>7153</v>
      </c>
      <c r="E261" t="s">
        <v>888</v>
      </c>
      <c r="F261" t="s">
        <v>1931</v>
      </c>
      <c r="G261" t="s">
        <v>1932</v>
      </c>
      <c r="H261">
        <v>106984</v>
      </c>
      <c r="I261">
        <v>428</v>
      </c>
      <c r="J261">
        <v>20.550572800000001</v>
      </c>
      <c r="K261">
        <v>78.841140499999995</v>
      </c>
      <c r="L261">
        <v>225.74876399999999</v>
      </c>
      <c r="M261">
        <f t="shared" si="12"/>
        <v>916.29285354175147</v>
      </c>
      <c r="N261">
        <f t="shared" si="13"/>
        <v>-3.8941089698648558E-3</v>
      </c>
      <c r="O261">
        <f t="shared" si="14"/>
        <v>-9.6469880082528312E-5</v>
      </c>
    </row>
    <row r="262" spans="1:15" x14ac:dyDescent="0.2">
      <c r="A262">
        <v>261</v>
      </c>
      <c r="B262" t="s">
        <v>1942</v>
      </c>
      <c r="C262" t="s">
        <v>932</v>
      </c>
      <c r="D262">
        <v>2324</v>
      </c>
      <c r="E262" t="s">
        <v>888</v>
      </c>
      <c r="F262" t="s">
        <v>1931</v>
      </c>
      <c r="G262" t="s">
        <v>1932</v>
      </c>
      <c r="H262">
        <v>325499</v>
      </c>
      <c r="I262">
        <v>134</v>
      </c>
      <c r="J262">
        <v>16.709000799999998</v>
      </c>
      <c r="K262">
        <v>74.456080700000001</v>
      </c>
      <c r="L262">
        <v>568.09515380000005</v>
      </c>
      <c r="M262">
        <f t="shared" si="12"/>
        <v>1422.1860535102078</v>
      </c>
      <c r="N262">
        <f t="shared" si="13"/>
        <v>-2.6580757916094048E-2</v>
      </c>
      <c r="O262">
        <f t="shared" si="14"/>
        <v>-6.3176287768512991E-5</v>
      </c>
    </row>
    <row r="263" spans="1:15" x14ac:dyDescent="0.2">
      <c r="A263">
        <v>262</v>
      </c>
      <c r="B263" t="s">
        <v>927</v>
      </c>
      <c r="C263" t="s">
        <v>927</v>
      </c>
      <c r="D263">
        <v>257</v>
      </c>
      <c r="E263" t="s">
        <v>888</v>
      </c>
      <c r="F263" t="s">
        <v>1931</v>
      </c>
      <c r="G263" t="s">
        <v>1932</v>
      </c>
      <c r="H263">
        <v>460000</v>
      </c>
      <c r="I263">
        <v>98</v>
      </c>
      <c r="J263">
        <v>21.0076578</v>
      </c>
      <c r="K263">
        <v>75.562603899999999</v>
      </c>
      <c r="L263">
        <v>225.4099731</v>
      </c>
      <c r="M263">
        <f t="shared" si="12"/>
        <v>932.92145734940198</v>
      </c>
      <c r="N263">
        <f t="shared" si="13"/>
        <v>-3.7883844370366227E-3</v>
      </c>
      <c r="O263">
        <f t="shared" si="14"/>
        <v>-9.4733892731895111E-5</v>
      </c>
    </row>
    <row r="264" spans="1:15" x14ac:dyDescent="0.2">
      <c r="A264">
        <v>263</v>
      </c>
      <c r="B264" t="s">
        <v>929</v>
      </c>
      <c r="C264" t="s">
        <v>929</v>
      </c>
      <c r="D264">
        <v>2482</v>
      </c>
      <c r="E264" t="s">
        <v>888</v>
      </c>
      <c r="F264" t="s">
        <v>1931</v>
      </c>
      <c r="G264" t="s">
        <v>1932</v>
      </c>
      <c r="H264">
        <v>285577</v>
      </c>
      <c r="I264">
        <v>161</v>
      </c>
      <c r="J264">
        <v>19.842614000000001</v>
      </c>
      <c r="K264">
        <v>75.894805000000005</v>
      </c>
      <c r="L264">
        <v>499.69869999999997</v>
      </c>
      <c r="M264">
        <f t="shared" si="12"/>
        <v>1044.0060837914082</v>
      </c>
      <c r="N264">
        <f t="shared" si="13"/>
        <v>-2.9658005159849638E-2</v>
      </c>
      <c r="O264">
        <f t="shared" si="14"/>
        <v>-8.6029149547054603E-5</v>
      </c>
    </row>
    <row r="265" spans="1:15" x14ac:dyDescent="0.2">
      <c r="A265">
        <v>264</v>
      </c>
      <c r="B265" t="s">
        <v>1943</v>
      </c>
      <c r="C265" t="s">
        <v>938</v>
      </c>
      <c r="D265">
        <v>7109</v>
      </c>
      <c r="E265" t="s">
        <v>888</v>
      </c>
      <c r="F265" t="s">
        <v>1931</v>
      </c>
      <c r="G265" t="s">
        <v>1932</v>
      </c>
      <c r="H265">
        <v>136124</v>
      </c>
      <c r="I265">
        <v>333</v>
      </c>
      <c r="J265">
        <v>21.227531200000001</v>
      </c>
      <c r="K265">
        <v>79.190083400000006</v>
      </c>
      <c r="L265">
        <v>291.9042053</v>
      </c>
      <c r="M265">
        <f t="shared" si="12"/>
        <v>840.99503022686565</v>
      </c>
      <c r="N265">
        <f t="shared" si="13"/>
        <v>-1.2109094565342274E-2</v>
      </c>
      <c r="O265">
        <f t="shared" si="14"/>
        <v>-1.0634711479043095E-4</v>
      </c>
    </row>
    <row r="266" spans="1:15" x14ac:dyDescent="0.2">
      <c r="A266">
        <v>265</v>
      </c>
      <c r="B266" t="s">
        <v>1944</v>
      </c>
      <c r="C266" t="s">
        <v>1945</v>
      </c>
      <c r="D266">
        <v>7263</v>
      </c>
      <c r="E266" t="s">
        <v>888</v>
      </c>
      <c r="F266" t="s">
        <v>1931</v>
      </c>
      <c r="G266" t="s">
        <v>1932</v>
      </c>
      <c r="H266">
        <v>94191</v>
      </c>
      <c r="I266">
        <v>497</v>
      </c>
      <c r="J266">
        <v>20.707117</v>
      </c>
      <c r="K266">
        <v>76.571995000000001</v>
      </c>
      <c r="L266">
        <v>305.92489619999998</v>
      </c>
      <c r="M266">
        <f t="shared" si="12"/>
        <v>932.12017159326558</v>
      </c>
      <c r="N266">
        <f t="shared" si="13"/>
        <v>-1.2429467565535627E-2</v>
      </c>
      <c r="O266">
        <f t="shared" si="14"/>
        <v>-9.6023537178099812E-5</v>
      </c>
    </row>
    <row r="267" spans="1:15" x14ac:dyDescent="0.2">
      <c r="A267">
        <v>266</v>
      </c>
      <c r="B267" t="s">
        <v>932</v>
      </c>
      <c r="C267" t="s">
        <v>932</v>
      </c>
      <c r="D267">
        <v>231</v>
      </c>
      <c r="E267" t="s">
        <v>888</v>
      </c>
      <c r="F267" t="s">
        <v>1931</v>
      </c>
      <c r="G267" t="s">
        <v>1932</v>
      </c>
      <c r="H267">
        <v>549618</v>
      </c>
      <c r="I267">
        <v>81</v>
      </c>
      <c r="J267">
        <v>16.704987299999999</v>
      </c>
      <c r="K267">
        <v>74.243252699999999</v>
      </c>
      <c r="L267">
        <v>567.25683590000006</v>
      </c>
      <c r="M267">
        <f t="shared" si="12"/>
        <v>1429.9030522841817</v>
      </c>
      <c r="N267">
        <f t="shared" si="13"/>
        <v>-2.6378677456311679E-2</v>
      </c>
      <c r="O267">
        <f t="shared" si="14"/>
        <v>-6.2835098069686558E-5</v>
      </c>
    </row>
    <row r="268" spans="1:15" x14ac:dyDescent="0.2">
      <c r="A268">
        <v>267</v>
      </c>
      <c r="B268" t="s">
        <v>935</v>
      </c>
      <c r="C268" t="s">
        <v>935</v>
      </c>
      <c r="D268">
        <v>2382</v>
      </c>
      <c r="E268" t="s">
        <v>888</v>
      </c>
      <c r="F268" t="s">
        <v>1931</v>
      </c>
      <c r="G268" t="s">
        <v>1932</v>
      </c>
      <c r="H268">
        <v>410873</v>
      </c>
      <c r="I268">
        <v>107</v>
      </c>
      <c r="J268">
        <v>18.4087934</v>
      </c>
      <c r="K268">
        <v>76.560382799999999</v>
      </c>
      <c r="L268">
        <v>632.86114499999996</v>
      </c>
      <c r="M268">
        <f t="shared" si="12"/>
        <v>1181.1472772737036</v>
      </c>
      <c r="N268">
        <f t="shared" si="13"/>
        <v>-3.7488451416663827E-2</v>
      </c>
      <c r="O268">
        <f t="shared" si="14"/>
        <v>-7.6087551384572364E-5</v>
      </c>
    </row>
    <row r="269" spans="1:15" x14ac:dyDescent="0.2">
      <c r="A269">
        <v>268</v>
      </c>
      <c r="B269" t="s">
        <v>1946</v>
      </c>
      <c r="C269" t="s">
        <v>1946</v>
      </c>
      <c r="D269">
        <v>2554</v>
      </c>
      <c r="E269" t="s">
        <v>888</v>
      </c>
      <c r="F269" t="s">
        <v>1931</v>
      </c>
      <c r="G269" t="s">
        <v>1932</v>
      </c>
      <c r="H269">
        <v>409618</v>
      </c>
      <c r="I269">
        <v>110</v>
      </c>
      <c r="J269">
        <v>20.554554</v>
      </c>
      <c r="K269">
        <v>74.525988999999996</v>
      </c>
      <c r="L269">
        <v>429.15097050000003</v>
      </c>
      <c r="M269">
        <f t="shared" si="12"/>
        <v>1022.0047306680729</v>
      </c>
      <c r="N269">
        <f t="shared" si="13"/>
        <v>-2.3393595110241201E-2</v>
      </c>
      <c r="O269">
        <f t="shared" si="14"/>
        <v>-8.7827728467625941E-5</v>
      </c>
    </row>
    <row r="270" spans="1:15" x14ac:dyDescent="0.2">
      <c r="A270">
        <v>269</v>
      </c>
      <c r="B270" t="s">
        <v>1947</v>
      </c>
      <c r="C270" t="s">
        <v>1947</v>
      </c>
      <c r="D270">
        <v>22</v>
      </c>
      <c r="E270" t="s">
        <v>888</v>
      </c>
      <c r="F270" t="s">
        <v>1931</v>
      </c>
      <c r="G270" t="s">
        <v>1932</v>
      </c>
      <c r="H270">
        <v>12461724</v>
      </c>
      <c r="I270">
        <v>3</v>
      </c>
      <c r="J270">
        <v>19.075983699999998</v>
      </c>
      <c r="K270">
        <v>72.877655899999993</v>
      </c>
      <c r="L270">
        <v>5.4558672899999996</v>
      </c>
      <c r="M270">
        <f t="shared" si="12"/>
        <v>1247.1377797023194</v>
      </c>
      <c r="N270">
        <f t="shared" si="13"/>
        <v>1.4802811486800207E-2</v>
      </c>
      <c r="O270">
        <f t="shared" si="14"/>
        <v>7.1916387867628403E-5</v>
      </c>
    </row>
    <row r="271" spans="1:15" x14ac:dyDescent="0.2">
      <c r="A271">
        <v>270</v>
      </c>
      <c r="B271" t="s">
        <v>938</v>
      </c>
      <c r="C271" t="s">
        <v>938</v>
      </c>
      <c r="D271">
        <v>712</v>
      </c>
      <c r="E271" t="s">
        <v>888</v>
      </c>
      <c r="F271" t="s">
        <v>1931</v>
      </c>
      <c r="G271" t="s">
        <v>1932</v>
      </c>
      <c r="H271">
        <v>2405421</v>
      </c>
      <c r="I271">
        <v>13</v>
      </c>
      <c r="J271">
        <v>21.145800399999999</v>
      </c>
      <c r="K271">
        <v>79.088154599999996</v>
      </c>
      <c r="L271">
        <v>310.33056640000001</v>
      </c>
      <c r="M271">
        <f t="shared" si="12"/>
        <v>849.94265353307912</v>
      </c>
      <c r="N271">
        <f t="shared" si="13"/>
        <v>-1.4149571632872459E-2</v>
      </c>
      <c r="O271">
        <f t="shared" si="14"/>
        <v>-1.0532897825803829E-4</v>
      </c>
    </row>
    <row r="272" spans="1:15" x14ac:dyDescent="0.2">
      <c r="A272">
        <v>271</v>
      </c>
      <c r="B272" t="s">
        <v>941</v>
      </c>
      <c r="C272" t="s">
        <v>941</v>
      </c>
      <c r="D272">
        <v>2462</v>
      </c>
      <c r="E272" t="s">
        <v>888</v>
      </c>
      <c r="F272" t="s">
        <v>1931</v>
      </c>
      <c r="G272" t="s">
        <v>1932</v>
      </c>
      <c r="H272">
        <v>550564</v>
      </c>
      <c r="I272">
        <v>80</v>
      </c>
      <c r="J272">
        <v>19.138251400000001</v>
      </c>
      <c r="K272">
        <v>77.320955499999997</v>
      </c>
      <c r="L272">
        <v>356.37493899999998</v>
      </c>
      <c r="M272">
        <f t="shared" si="12"/>
        <v>1086.9738150125706</v>
      </c>
      <c r="N272">
        <f t="shared" si="13"/>
        <v>-1.5300057361370445E-2</v>
      </c>
      <c r="O272">
        <f t="shared" si="14"/>
        <v>-8.2481736031773329E-5</v>
      </c>
    </row>
    <row r="273" spans="1:15" x14ac:dyDescent="0.2">
      <c r="A273">
        <v>272</v>
      </c>
      <c r="B273" t="s">
        <v>942</v>
      </c>
      <c r="C273" t="s">
        <v>942</v>
      </c>
      <c r="D273">
        <v>2564</v>
      </c>
      <c r="E273" t="s">
        <v>888</v>
      </c>
      <c r="F273" t="s">
        <v>1931</v>
      </c>
      <c r="G273" t="s">
        <v>1932</v>
      </c>
      <c r="H273">
        <v>329786</v>
      </c>
      <c r="I273">
        <v>132</v>
      </c>
      <c r="J273">
        <v>21.375550700000002</v>
      </c>
      <c r="K273">
        <v>74.242764399999999</v>
      </c>
      <c r="L273">
        <v>203.05836489999999</v>
      </c>
      <c r="M273">
        <f t="shared" si="12"/>
        <v>954.45055548042455</v>
      </c>
      <c r="N273">
        <f t="shared" si="13"/>
        <v>-1.3611017381053247E-3</v>
      </c>
      <c r="O273">
        <f t="shared" si="14"/>
        <v>-8.9683298212356097E-5</v>
      </c>
    </row>
    <row r="274" spans="1:15" x14ac:dyDescent="0.2">
      <c r="A274">
        <v>273</v>
      </c>
      <c r="B274" t="s">
        <v>945</v>
      </c>
      <c r="C274" t="s">
        <v>945</v>
      </c>
      <c r="D274">
        <v>253</v>
      </c>
      <c r="E274" t="s">
        <v>888</v>
      </c>
      <c r="F274" t="s">
        <v>1931</v>
      </c>
      <c r="G274" t="s">
        <v>1932</v>
      </c>
      <c r="H274">
        <v>1817359</v>
      </c>
      <c r="I274">
        <v>20</v>
      </c>
      <c r="J274">
        <v>19.9974533</v>
      </c>
      <c r="K274">
        <v>73.789802300000005</v>
      </c>
      <c r="L274">
        <v>582.67364499999996</v>
      </c>
      <c r="M274">
        <f t="shared" si="12"/>
        <v>1111.6923414890082</v>
      </c>
      <c r="N274">
        <f t="shared" si="13"/>
        <v>-3.5316094979492299E-2</v>
      </c>
      <c r="O274">
        <f t="shared" si="14"/>
        <v>-8.0826376135125408E-5</v>
      </c>
    </row>
    <row r="275" spans="1:15" x14ac:dyDescent="0.2">
      <c r="A275">
        <v>274</v>
      </c>
      <c r="B275" t="s">
        <v>948</v>
      </c>
      <c r="C275" t="s">
        <v>948</v>
      </c>
      <c r="D275">
        <v>2472</v>
      </c>
      <c r="E275" t="s">
        <v>888</v>
      </c>
      <c r="F275" t="s">
        <v>1931</v>
      </c>
      <c r="G275" t="s">
        <v>1932</v>
      </c>
      <c r="H275">
        <v>112085</v>
      </c>
      <c r="I275">
        <v>408</v>
      </c>
      <c r="J275">
        <v>18.186065899999999</v>
      </c>
      <c r="K275">
        <v>76.0419409</v>
      </c>
      <c r="L275">
        <v>663.36560059999999</v>
      </c>
      <c r="M275">
        <f t="shared" si="12"/>
        <v>1217.4691097655309</v>
      </c>
      <c r="N275">
        <f t="shared" si="13"/>
        <v>-3.887558830064701E-2</v>
      </c>
      <c r="O275">
        <f t="shared" si="14"/>
        <v>-7.3824414165742016E-5</v>
      </c>
    </row>
    <row r="276" spans="1:15" x14ac:dyDescent="0.2">
      <c r="A276">
        <v>275</v>
      </c>
      <c r="B276" t="s">
        <v>1948</v>
      </c>
      <c r="C276" t="s">
        <v>969</v>
      </c>
      <c r="D276">
        <v>2186</v>
      </c>
      <c r="E276" t="s">
        <v>888</v>
      </c>
      <c r="F276" t="s">
        <v>1931</v>
      </c>
      <c r="G276" t="s">
        <v>1932</v>
      </c>
      <c r="H276">
        <v>140000</v>
      </c>
      <c r="I276">
        <v>326</v>
      </c>
      <c r="J276">
        <v>17.674553499999998</v>
      </c>
      <c r="K276">
        <v>75.323726199999996</v>
      </c>
      <c r="L276">
        <v>463.49389650000001</v>
      </c>
      <c r="M276">
        <f t="shared" si="12"/>
        <v>1292.1989735641525</v>
      </c>
      <c r="N276">
        <f t="shared" si="13"/>
        <v>-2.1159788878784884E-2</v>
      </c>
      <c r="O276">
        <f t="shared" si="14"/>
        <v>-6.9486553965668495E-5</v>
      </c>
    </row>
    <row r="277" spans="1:15" x14ac:dyDescent="0.2">
      <c r="A277">
        <v>276</v>
      </c>
      <c r="B277" t="s">
        <v>951</v>
      </c>
      <c r="C277" t="s">
        <v>951</v>
      </c>
      <c r="D277">
        <v>2452</v>
      </c>
      <c r="E277" t="s">
        <v>888</v>
      </c>
      <c r="F277" t="s">
        <v>1931</v>
      </c>
      <c r="G277" t="s">
        <v>1932</v>
      </c>
      <c r="H277">
        <v>270000</v>
      </c>
      <c r="I277">
        <v>166</v>
      </c>
      <c r="J277">
        <v>19.2609958</v>
      </c>
      <c r="K277">
        <v>76.776664999999994</v>
      </c>
      <c r="L277">
        <v>417</v>
      </c>
      <c r="M277">
        <f t="shared" si="12"/>
        <v>1083.7367216709908</v>
      </c>
      <c r="N277">
        <f t="shared" si="13"/>
        <v>-2.0939834709125412E-2</v>
      </c>
      <c r="O277">
        <f t="shared" si="14"/>
        <v>-8.2813030735522385E-5</v>
      </c>
    </row>
    <row r="278" spans="1:15" x14ac:dyDescent="0.2">
      <c r="A278">
        <v>277</v>
      </c>
      <c r="B278" t="s">
        <v>1949</v>
      </c>
      <c r="C278" t="s">
        <v>1936</v>
      </c>
      <c r="D278">
        <v>2446</v>
      </c>
      <c r="E278" t="s">
        <v>888</v>
      </c>
      <c r="F278" t="s">
        <v>1931</v>
      </c>
      <c r="G278" t="s">
        <v>1932</v>
      </c>
      <c r="H278">
        <v>88510</v>
      </c>
      <c r="I278">
        <v>514</v>
      </c>
      <c r="J278">
        <v>18.8453169</v>
      </c>
      <c r="K278">
        <v>76.519846200000003</v>
      </c>
      <c r="L278">
        <v>468.46459959999999</v>
      </c>
      <c r="M278">
        <f t="shared" si="12"/>
        <v>1134.5916127300102</v>
      </c>
      <c r="N278">
        <f t="shared" si="13"/>
        <v>-2.4537223321273394E-2</v>
      </c>
      <c r="O278">
        <f t="shared" si="14"/>
        <v>-7.9142304649130489E-5</v>
      </c>
    </row>
    <row r="279" spans="1:15" x14ac:dyDescent="0.2">
      <c r="A279">
        <v>278</v>
      </c>
      <c r="B279" t="s">
        <v>1950</v>
      </c>
      <c r="C279" t="s">
        <v>954</v>
      </c>
      <c r="D279">
        <v>212</v>
      </c>
      <c r="E279" t="s">
        <v>888</v>
      </c>
      <c r="F279" t="s">
        <v>1931</v>
      </c>
      <c r="G279" t="s">
        <v>1932</v>
      </c>
      <c r="H279">
        <v>1772891</v>
      </c>
      <c r="I279">
        <v>21</v>
      </c>
      <c r="J279">
        <v>18.623539999999998</v>
      </c>
      <c r="K279">
        <v>73.807873000000001</v>
      </c>
      <c r="L279">
        <v>572.5076904</v>
      </c>
      <c r="M279">
        <f t="shared" si="12"/>
        <v>1248.4762582868309</v>
      </c>
      <c r="N279">
        <f t="shared" si="13"/>
        <v>-3.0632570388225699E-2</v>
      </c>
      <c r="O279">
        <f t="shared" si="14"/>
        <v>-7.1967875641381612E-5</v>
      </c>
    </row>
    <row r="280" spans="1:15" x14ac:dyDescent="0.2">
      <c r="A280">
        <v>279</v>
      </c>
      <c r="B280" t="s">
        <v>954</v>
      </c>
      <c r="C280" t="s">
        <v>954</v>
      </c>
      <c r="D280">
        <v>20</v>
      </c>
      <c r="E280" t="s">
        <v>888</v>
      </c>
      <c r="F280" t="s">
        <v>1931</v>
      </c>
      <c r="G280" t="s">
        <v>1932</v>
      </c>
      <c r="H280">
        <v>3115431</v>
      </c>
      <c r="I280">
        <v>9</v>
      </c>
      <c r="J280">
        <v>18.520430300000001</v>
      </c>
      <c r="K280">
        <v>73.856743699999996</v>
      </c>
      <c r="L280">
        <v>559.90948490000005</v>
      </c>
      <c r="M280">
        <f t="shared" si="12"/>
        <v>1256.862423887625</v>
      </c>
      <c r="N280">
        <f t="shared" si="13"/>
        <v>-2.9425827049235364E-2</v>
      </c>
      <c r="O280">
        <f t="shared" si="14"/>
        <v>-7.1483623923564784E-5</v>
      </c>
    </row>
    <row r="281" spans="1:15" x14ac:dyDescent="0.2">
      <c r="A281">
        <v>280</v>
      </c>
      <c r="B281" t="s">
        <v>1951</v>
      </c>
      <c r="C281" t="s">
        <v>961</v>
      </c>
      <c r="D281">
        <v>233</v>
      </c>
      <c r="E281" t="s">
        <v>888</v>
      </c>
      <c r="F281" t="s">
        <v>1931</v>
      </c>
      <c r="G281" t="s">
        <v>1932</v>
      </c>
      <c r="H281">
        <v>513862</v>
      </c>
      <c r="I281">
        <v>87</v>
      </c>
      <c r="J281">
        <v>16.854188700000002</v>
      </c>
      <c r="K281">
        <v>74.604906099999994</v>
      </c>
      <c r="L281">
        <v>561.3086548</v>
      </c>
      <c r="M281">
        <f t="shared" si="12"/>
        <v>1401.9002095440076</v>
      </c>
      <c r="N281">
        <f t="shared" si="13"/>
        <v>-2.648129520722111E-2</v>
      </c>
      <c r="O281">
        <f t="shared" si="14"/>
        <v>-6.4088487962659903E-5</v>
      </c>
    </row>
    <row r="282" spans="1:15" x14ac:dyDescent="0.2">
      <c r="A282">
        <v>281</v>
      </c>
      <c r="B282" t="s">
        <v>964</v>
      </c>
      <c r="C282" t="s">
        <v>964</v>
      </c>
      <c r="D282">
        <v>2162</v>
      </c>
      <c r="E282" t="s">
        <v>888</v>
      </c>
      <c r="F282" t="s">
        <v>1931</v>
      </c>
      <c r="G282" t="s">
        <v>1932</v>
      </c>
      <c r="H282">
        <v>149335</v>
      </c>
      <c r="I282">
        <v>298</v>
      </c>
      <c r="J282">
        <v>17.680463899999999</v>
      </c>
      <c r="K282">
        <v>74.018260999999995</v>
      </c>
      <c r="L282">
        <v>689.33172609999997</v>
      </c>
      <c r="M282">
        <f t="shared" si="12"/>
        <v>1336.5002879055241</v>
      </c>
      <c r="N282">
        <f t="shared" si="13"/>
        <v>-3.7356101515130566E-2</v>
      </c>
      <c r="O282">
        <f t="shared" si="14"/>
        <v>-6.7254186604626015E-5</v>
      </c>
    </row>
    <row r="283" spans="1:15" x14ac:dyDescent="0.2">
      <c r="A283">
        <v>282</v>
      </c>
      <c r="B283" t="s">
        <v>969</v>
      </c>
      <c r="C283" t="s">
        <v>969</v>
      </c>
      <c r="D283">
        <v>217</v>
      </c>
      <c r="E283" t="s">
        <v>888</v>
      </c>
      <c r="F283" t="s">
        <v>1931</v>
      </c>
      <c r="G283" t="s">
        <v>1932</v>
      </c>
      <c r="H283">
        <v>951118</v>
      </c>
      <c r="I283">
        <v>50</v>
      </c>
      <c r="J283">
        <v>17.6599188</v>
      </c>
      <c r="K283">
        <v>75.906390599999995</v>
      </c>
      <c r="L283">
        <v>474.0987854</v>
      </c>
      <c r="M283">
        <f t="shared" si="12"/>
        <v>1277.7059366573569</v>
      </c>
      <c r="N283">
        <f t="shared" si="13"/>
        <v>-2.2229799162009279E-2</v>
      </c>
      <c r="O283">
        <f t="shared" si="14"/>
        <v>-7.0280864245094216E-5</v>
      </c>
    </row>
    <row r="284" spans="1:15" x14ac:dyDescent="0.2">
      <c r="A284">
        <v>283</v>
      </c>
      <c r="B284" t="s">
        <v>1952</v>
      </c>
      <c r="C284" t="s">
        <v>935</v>
      </c>
      <c r="D284">
        <v>2385</v>
      </c>
      <c r="E284" t="s">
        <v>888</v>
      </c>
      <c r="F284" t="s">
        <v>1931</v>
      </c>
      <c r="G284" t="s">
        <v>1932</v>
      </c>
      <c r="H284">
        <v>91933</v>
      </c>
      <c r="I284">
        <v>506</v>
      </c>
      <c r="J284">
        <v>18.394288199999998</v>
      </c>
      <c r="K284">
        <v>77.112600900000004</v>
      </c>
      <c r="L284">
        <v>640.12854000000004</v>
      </c>
      <c r="M284">
        <f t="shared" si="12"/>
        <v>1172.1145824528051</v>
      </c>
      <c r="N284">
        <f t="shared" si="13"/>
        <v>-3.8397373852152521E-2</v>
      </c>
      <c r="O284">
        <f t="shared" si="14"/>
        <v>-7.6675689321949991E-5</v>
      </c>
    </row>
    <row r="285" spans="1:15" x14ac:dyDescent="0.2">
      <c r="A285">
        <v>284</v>
      </c>
      <c r="B285" t="s">
        <v>975</v>
      </c>
      <c r="C285" t="s">
        <v>975</v>
      </c>
      <c r="D285">
        <v>7152</v>
      </c>
      <c r="E285" t="s">
        <v>888</v>
      </c>
      <c r="F285" t="s">
        <v>1931</v>
      </c>
      <c r="G285" t="s">
        <v>1932</v>
      </c>
      <c r="H285">
        <v>106444</v>
      </c>
      <c r="I285">
        <v>431</v>
      </c>
      <c r="J285">
        <v>20.745318999999999</v>
      </c>
      <c r="K285">
        <v>78.602194600000004</v>
      </c>
      <c r="L285">
        <v>285.76580810000002</v>
      </c>
      <c r="M285">
        <f t="shared" si="12"/>
        <v>895.46549375778432</v>
      </c>
      <c r="N285">
        <f t="shared" si="13"/>
        <v>-1.0687009936966441E-2</v>
      </c>
      <c r="O285">
        <f t="shared" si="14"/>
        <v>-9.9837806105371771E-5</v>
      </c>
    </row>
    <row r="286" spans="1:15" x14ac:dyDescent="0.2">
      <c r="A286">
        <v>285</v>
      </c>
      <c r="B286" t="s">
        <v>981</v>
      </c>
      <c r="C286" t="s">
        <v>981</v>
      </c>
      <c r="D286">
        <v>7232</v>
      </c>
      <c r="E286" t="s">
        <v>888</v>
      </c>
      <c r="F286" t="s">
        <v>1931</v>
      </c>
      <c r="G286" t="s">
        <v>1932</v>
      </c>
      <c r="H286">
        <v>138303</v>
      </c>
      <c r="I286">
        <v>329</v>
      </c>
      <c r="J286">
        <v>20.388793700000001</v>
      </c>
      <c r="K286">
        <v>78.120407299999997</v>
      </c>
      <c r="L286">
        <v>458.54815669999999</v>
      </c>
      <c r="M286">
        <f t="shared" si="12"/>
        <v>938.5479600191037</v>
      </c>
      <c r="N286">
        <f t="shared" si="13"/>
        <v>-2.8605979271910109E-2</v>
      </c>
      <c r="O286">
        <f t="shared" si="14"/>
        <v>-9.5665429446881308E-5</v>
      </c>
    </row>
    <row r="287" spans="1:15" x14ac:dyDescent="0.2">
      <c r="A287">
        <v>286</v>
      </c>
      <c r="B287" t="s">
        <v>1953</v>
      </c>
      <c r="C287" t="s">
        <v>1954</v>
      </c>
      <c r="D287">
        <v>385</v>
      </c>
      <c r="E287" t="s">
        <v>984</v>
      </c>
      <c r="F287" t="s">
        <v>1955</v>
      </c>
      <c r="G287" t="s">
        <v>1956</v>
      </c>
      <c r="H287">
        <v>264986</v>
      </c>
      <c r="I287">
        <v>169</v>
      </c>
      <c r="J287">
        <v>24.817011099999998</v>
      </c>
      <c r="K287">
        <v>93.9368439</v>
      </c>
      <c r="L287">
        <v>782.94580080000003</v>
      </c>
      <c r="M287">
        <f t="shared" si="12"/>
        <v>1543.165079556891</v>
      </c>
      <c r="N287">
        <f t="shared" si="13"/>
        <v>-3.8419640701709036E-2</v>
      </c>
      <c r="O287">
        <f t="shared" si="14"/>
        <v>-5.8259068506065925E-5</v>
      </c>
    </row>
    <row r="288" spans="1:15" x14ac:dyDescent="0.2">
      <c r="A288">
        <v>287</v>
      </c>
      <c r="B288" t="s">
        <v>1957</v>
      </c>
      <c r="C288" t="s">
        <v>1958</v>
      </c>
      <c r="D288">
        <v>364</v>
      </c>
      <c r="E288" t="s">
        <v>1010</v>
      </c>
      <c r="F288" t="s">
        <v>1959</v>
      </c>
      <c r="G288" t="s">
        <v>1960</v>
      </c>
      <c r="H288">
        <v>143299</v>
      </c>
      <c r="I288">
        <v>316</v>
      </c>
      <c r="J288">
        <v>25.578765000000001</v>
      </c>
      <c r="K288">
        <v>91.893186999999998</v>
      </c>
      <c r="L288">
        <v>1436.608154</v>
      </c>
      <c r="M288">
        <f t="shared" si="12"/>
        <v>1321.1214161021176</v>
      </c>
      <c r="N288">
        <f t="shared" si="13"/>
        <v>-9.4354751728863595E-2</v>
      </c>
      <c r="O288">
        <f t="shared" si="14"/>
        <v>-6.8089151453163085E-5</v>
      </c>
    </row>
    <row r="289" spans="1:15" x14ac:dyDescent="0.2">
      <c r="A289">
        <v>288</v>
      </c>
      <c r="B289" t="s">
        <v>1032</v>
      </c>
      <c r="C289" t="s">
        <v>1961</v>
      </c>
      <c r="D289">
        <v>389</v>
      </c>
      <c r="E289" t="s">
        <v>1031</v>
      </c>
      <c r="F289" t="s">
        <v>1962</v>
      </c>
      <c r="G289" t="s">
        <v>1963</v>
      </c>
      <c r="H289">
        <v>293416</v>
      </c>
      <c r="I289">
        <v>155</v>
      </c>
      <c r="J289">
        <v>23.727107</v>
      </c>
      <c r="K289">
        <v>92.717638899999997</v>
      </c>
      <c r="L289">
        <v>1066.534302</v>
      </c>
      <c r="M289">
        <f t="shared" si="12"/>
        <v>1475.6140567562213</v>
      </c>
      <c r="N289">
        <f t="shared" si="13"/>
        <v>-5.9396762736639935E-2</v>
      </c>
      <c r="O289">
        <f t="shared" si="14"/>
        <v>-6.0947256719250443E-5</v>
      </c>
    </row>
    <row r="290" spans="1:15" x14ac:dyDescent="0.2">
      <c r="A290">
        <v>289</v>
      </c>
      <c r="B290" t="s">
        <v>1056</v>
      </c>
      <c r="C290" t="s">
        <v>1056</v>
      </c>
      <c r="D290">
        <v>3862</v>
      </c>
      <c r="E290" t="s">
        <v>1055</v>
      </c>
      <c r="F290" t="s">
        <v>1964</v>
      </c>
      <c r="G290" t="s">
        <v>1965</v>
      </c>
      <c r="H290">
        <v>375782</v>
      </c>
      <c r="I290">
        <v>116</v>
      </c>
      <c r="J290">
        <v>25.8629885</v>
      </c>
      <c r="K290">
        <v>93.753666300000006</v>
      </c>
      <c r="L290">
        <v>165.8028717</v>
      </c>
      <c r="M290">
        <f t="shared" si="12"/>
        <v>1489.8317080886409</v>
      </c>
      <c r="N290">
        <f t="shared" si="13"/>
        <v>1.6286705383072929E-3</v>
      </c>
      <c r="O290">
        <f t="shared" si="14"/>
        <v>5.8825456281059485E-5</v>
      </c>
    </row>
    <row r="291" spans="1:15" x14ac:dyDescent="0.2">
      <c r="A291">
        <v>290</v>
      </c>
      <c r="B291" t="s">
        <v>1059</v>
      </c>
      <c r="C291" t="s">
        <v>1059</v>
      </c>
      <c r="D291">
        <v>370</v>
      </c>
      <c r="E291" t="s">
        <v>1055</v>
      </c>
      <c r="F291" t="s">
        <v>1964</v>
      </c>
      <c r="G291" t="s">
        <v>1965</v>
      </c>
      <c r="H291">
        <v>99039</v>
      </c>
      <c r="I291">
        <v>469</v>
      </c>
      <c r="J291">
        <v>25.658596299999999</v>
      </c>
      <c r="K291">
        <v>94.105330699999996</v>
      </c>
      <c r="L291">
        <v>1444.924927</v>
      </c>
      <c r="M291">
        <f t="shared" si="12"/>
        <v>1529.9984465549232</v>
      </c>
      <c r="N291">
        <f t="shared" si="13"/>
        <v>-8.2016920214889502E-2</v>
      </c>
      <c r="O291">
        <f t="shared" si="14"/>
        <v>-5.8793746506116882E-5</v>
      </c>
    </row>
    <row r="292" spans="1:15" x14ac:dyDescent="0.2">
      <c r="A292">
        <v>291</v>
      </c>
      <c r="B292" t="s">
        <v>1966</v>
      </c>
      <c r="C292" t="s">
        <v>1966</v>
      </c>
      <c r="D292">
        <v>6652</v>
      </c>
      <c r="E292" t="s">
        <v>1967</v>
      </c>
      <c r="F292" t="s">
        <v>1968</v>
      </c>
      <c r="G292" t="s">
        <v>1969</v>
      </c>
      <c r="H292">
        <v>98238</v>
      </c>
      <c r="I292">
        <v>473</v>
      </c>
      <c r="J292">
        <v>20.7074234</v>
      </c>
      <c r="K292">
        <v>83.484272500000003</v>
      </c>
      <c r="L292">
        <v>186.39358519999999</v>
      </c>
      <c r="M292">
        <f t="shared" si="12"/>
        <v>1004.892671478555</v>
      </c>
      <c r="N292">
        <f t="shared" si="13"/>
        <v>3.6558497283044539E-4</v>
      </c>
      <c r="O292">
        <f t="shared" si="14"/>
        <v>7.4408816974712595E-5</v>
      </c>
    </row>
    <row r="293" spans="1:15" x14ac:dyDescent="0.2">
      <c r="A293">
        <v>292</v>
      </c>
      <c r="B293" t="s">
        <v>1970</v>
      </c>
      <c r="C293" t="s">
        <v>1970</v>
      </c>
      <c r="D293">
        <v>6782</v>
      </c>
      <c r="E293" t="s">
        <v>1967</v>
      </c>
      <c r="F293" t="s">
        <v>1968</v>
      </c>
      <c r="G293" t="s">
        <v>1969</v>
      </c>
      <c r="H293">
        <v>177557</v>
      </c>
      <c r="I293">
        <v>245</v>
      </c>
      <c r="J293">
        <v>21.504467000000002</v>
      </c>
      <c r="K293">
        <v>86.922227000000007</v>
      </c>
      <c r="L293">
        <v>18.56797409</v>
      </c>
      <c r="M293">
        <f t="shared" si="12"/>
        <v>1134.2145637189599</v>
      </c>
      <c r="N293">
        <f t="shared" si="13"/>
        <v>1.5120538317518443E-2</v>
      </c>
      <c r="O293">
        <f t="shared" si="14"/>
        <v>7.9055514896236848E-5</v>
      </c>
    </row>
    <row r="294" spans="1:15" x14ac:dyDescent="0.2">
      <c r="A294">
        <v>293</v>
      </c>
      <c r="B294" t="s">
        <v>1971</v>
      </c>
      <c r="C294" t="s">
        <v>1141</v>
      </c>
      <c r="D294">
        <v>6792</v>
      </c>
      <c r="E294" t="s">
        <v>1967</v>
      </c>
      <c r="F294" t="s">
        <v>1968</v>
      </c>
      <c r="G294" t="s">
        <v>1969</v>
      </c>
      <c r="H294">
        <v>116874</v>
      </c>
      <c r="I294">
        <v>386</v>
      </c>
      <c r="J294">
        <v>21.932233799999999</v>
      </c>
      <c r="K294">
        <v>86.751694200000003</v>
      </c>
      <c r="L294">
        <v>51.779621120000002</v>
      </c>
      <c r="M294">
        <f t="shared" si="12"/>
        <v>1087.5418425122127</v>
      </c>
      <c r="N294">
        <f t="shared" si="13"/>
        <v>1.2715621162727545E-2</v>
      </c>
      <c r="O294">
        <f t="shared" si="14"/>
        <v>8.2374471203928165E-5</v>
      </c>
    </row>
    <row r="295" spans="1:15" x14ac:dyDescent="0.2">
      <c r="A295">
        <v>294</v>
      </c>
      <c r="B295" t="s">
        <v>1972</v>
      </c>
      <c r="C295" t="s">
        <v>1109</v>
      </c>
      <c r="D295">
        <v>680</v>
      </c>
      <c r="E295" t="s">
        <v>1967</v>
      </c>
      <c r="F295" t="s">
        <v>1968</v>
      </c>
      <c r="G295" t="s">
        <v>1969</v>
      </c>
      <c r="H295">
        <v>355823</v>
      </c>
      <c r="I295">
        <v>125</v>
      </c>
      <c r="J295">
        <v>19.314914000000002</v>
      </c>
      <c r="K295">
        <v>84.794244000000006</v>
      </c>
      <c r="L295">
        <v>33.803710940000002</v>
      </c>
      <c r="M295">
        <f t="shared" si="12"/>
        <v>1204.8870127865241</v>
      </c>
      <c r="N295">
        <f t="shared" si="13"/>
        <v>1.296915056778739E-2</v>
      </c>
      <c r="O295">
        <f t="shared" si="14"/>
        <v>7.4391493148087985E-5</v>
      </c>
    </row>
    <row r="296" spans="1:15" x14ac:dyDescent="0.2">
      <c r="A296">
        <v>295</v>
      </c>
      <c r="B296" t="s">
        <v>1089</v>
      </c>
      <c r="C296" t="s">
        <v>1089</v>
      </c>
      <c r="D296">
        <v>6784</v>
      </c>
      <c r="E296" t="s">
        <v>1967</v>
      </c>
      <c r="F296" t="s">
        <v>1968</v>
      </c>
      <c r="G296" t="s">
        <v>1969</v>
      </c>
      <c r="H296">
        <v>129152</v>
      </c>
      <c r="I296">
        <v>354</v>
      </c>
      <c r="J296">
        <v>21.058273700000001</v>
      </c>
      <c r="K296">
        <v>86.495839599999996</v>
      </c>
      <c r="L296">
        <v>19</v>
      </c>
      <c r="M296">
        <f t="shared" si="12"/>
        <v>1142.3599661487026</v>
      </c>
      <c r="N296">
        <f t="shared" si="13"/>
        <v>1.4974905184810365E-2</v>
      </c>
      <c r="O296">
        <f t="shared" si="14"/>
        <v>7.8491084504490852E-5</v>
      </c>
    </row>
    <row r="297" spans="1:15" x14ac:dyDescent="0.2">
      <c r="A297">
        <v>296</v>
      </c>
      <c r="B297" t="s">
        <v>1973</v>
      </c>
      <c r="C297" t="s">
        <v>1974</v>
      </c>
      <c r="D297">
        <v>674</v>
      </c>
      <c r="E297" t="s">
        <v>1967</v>
      </c>
      <c r="F297" t="s">
        <v>1968</v>
      </c>
      <c r="G297" t="s">
        <v>1969</v>
      </c>
      <c r="H297">
        <v>881988</v>
      </c>
      <c r="I297">
        <v>58</v>
      </c>
      <c r="J297">
        <v>20.295515000000002</v>
      </c>
      <c r="K297">
        <v>85.824797000000004</v>
      </c>
      <c r="L297">
        <v>46.094062809999997</v>
      </c>
      <c r="M297">
        <f t="shared" si="12"/>
        <v>1167.7222843958186</v>
      </c>
      <c r="N297">
        <f t="shared" si="13"/>
        <v>1.2329409219461115E-2</v>
      </c>
      <c r="O297">
        <f t="shared" si="14"/>
        <v>7.6732324403746213E-5</v>
      </c>
    </row>
    <row r="298" spans="1:15" x14ac:dyDescent="0.2">
      <c r="A298">
        <v>297</v>
      </c>
      <c r="B298" t="s">
        <v>1098</v>
      </c>
      <c r="C298" t="s">
        <v>1098</v>
      </c>
      <c r="D298">
        <v>671</v>
      </c>
      <c r="E298" t="s">
        <v>1967</v>
      </c>
      <c r="F298" t="s">
        <v>1968</v>
      </c>
      <c r="G298" t="s">
        <v>1969</v>
      </c>
      <c r="H298">
        <v>658986</v>
      </c>
      <c r="I298">
        <v>67</v>
      </c>
      <c r="J298">
        <v>20.462520999999999</v>
      </c>
      <c r="K298">
        <v>85.882989499999994</v>
      </c>
      <c r="L298">
        <v>28.462747570000001</v>
      </c>
      <c r="M298">
        <f t="shared" si="12"/>
        <v>1156.0095746368643</v>
      </c>
      <c r="N298">
        <f t="shared" si="13"/>
        <v>1.3979518662790024E-2</v>
      </c>
      <c r="O298">
        <f t="shared" si="14"/>
        <v>7.7547334759653965E-5</v>
      </c>
    </row>
    <row r="299" spans="1:15" x14ac:dyDescent="0.2">
      <c r="A299">
        <v>298</v>
      </c>
      <c r="B299" t="s">
        <v>1975</v>
      </c>
      <c r="C299" t="s">
        <v>1135</v>
      </c>
      <c r="D299">
        <v>6854</v>
      </c>
      <c r="E299" t="s">
        <v>1967</v>
      </c>
      <c r="F299" t="s">
        <v>1968</v>
      </c>
      <c r="G299" t="s">
        <v>1969</v>
      </c>
      <c r="H299">
        <v>84830</v>
      </c>
      <c r="I299">
        <v>521</v>
      </c>
      <c r="J299">
        <v>18.8606126</v>
      </c>
      <c r="K299">
        <v>82.551046900000003</v>
      </c>
      <c r="L299">
        <v>598.07922359999998</v>
      </c>
      <c r="M299">
        <f t="shared" si="12"/>
        <v>1160.5983380635591</v>
      </c>
      <c r="N299">
        <f t="shared" si="13"/>
        <v>-3.515530639831535E-2</v>
      </c>
      <c r="O299">
        <f t="shared" si="14"/>
        <v>-7.7425213011563302E-5</v>
      </c>
    </row>
    <row r="300" spans="1:15" x14ac:dyDescent="0.2">
      <c r="A300">
        <v>299</v>
      </c>
      <c r="B300" t="s">
        <v>1118</v>
      </c>
      <c r="C300" t="s">
        <v>1118</v>
      </c>
      <c r="D300">
        <v>6645</v>
      </c>
      <c r="E300" t="s">
        <v>1967</v>
      </c>
      <c r="F300" t="s">
        <v>1968</v>
      </c>
      <c r="G300" t="s">
        <v>1969</v>
      </c>
      <c r="H300">
        <v>97730</v>
      </c>
      <c r="I300">
        <v>475</v>
      </c>
      <c r="J300">
        <v>21.855437500000001</v>
      </c>
      <c r="K300">
        <v>84.006166100000002</v>
      </c>
      <c r="L300">
        <v>223.28782649999999</v>
      </c>
      <c r="M300">
        <f t="shared" si="12"/>
        <v>919.01216964039133</v>
      </c>
      <c r="N300">
        <f t="shared" si="13"/>
        <v>-3.6148057444113221E-3</v>
      </c>
      <c r="O300">
        <f t="shared" si="14"/>
        <v>-9.6055103813888747E-5</v>
      </c>
    </row>
    <row r="301" spans="1:15" x14ac:dyDescent="0.2">
      <c r="A301">
        <v>300</v>
      </c>
      <c r="B301" t="s">
        <v>1152</v>
      </c>
      <c r="C301" t="s">
        <v>1152</v>
      </c>
      <c r="D301">
        <v>6752</v>
      </c>
      <c r="E301" t="s">
        <v>1967</v>
      </c>
      <c r="F301" t="s">
        <v>1968</v>
      </c>
      <c r="G301" t="s">
        <v>1969</v>
      </c>
      <c r="H301">
        <v>201026</v>
      </c>
      <c r="I301">
        <v>213</v>
      </c>
      <c r="J301">
        <v>19.8133822</v>
      </c>
      <c r="K301">
        <v>85.831465499999993</v>
      </c>
      <c r="L301">
        <v>13.131622309999999</v>
      </c>
      <c r="M301">
        <f t="shared" si="12"/>
        <v>1212.5592674725301</v>
      </c>
      <c r="N301">
        <f t="shared" si="13"/>
        <v>1.4591921750662665E-2</v>
      </c>
      <c r="O301">
        <f t="shared" si="14"/>
        <v>7.3956121771740337E-5</v>
      </c>
    </row>
    <row r="302" spans="1:15" x14ac:dyDescent="0.2">
      <c r="A302">
        <v>301</v>
      </c>
      <c r="B302" t="s">
        <v>1976</v>
      </c>
      <c r="C302" t="s">
        <v>1164</v>
      </c>
      <c r="D302">
        <v>661</v>
      </c>
      <c r="E302" t="s">
        <v>1967</v>
      </c>
      <c r="F302" t="s">
        <v>1968</v>
      </c>
      <c r="G302" t="s">
        <v>1969</v>
      </c>
      <c r="H302">
        <v>552970</v>
      </c>
      <c r="I302">
        <v>78</v>
      </c>
      <c r="J302">
        <v>22.260422999999999</v>
      </c>
      <c r="K302">
        <v>84.853584400000003</v>
      </c>
      <c r="L302">
        <v>201.8086395</v>
      </c>
      <c r="M302">
        <f t="shared" si="12"/>
        <v>931.89283888819205</v>
      </c>
      <c r="N302">
        <f t="shared" si="13"/>
        <v>-1.2599429043803085E-3</v>
      </c>
      <c r="O302">
        <f t="shared" si="14"/>
        <v>-9.13537502909612E-5</v>
      </c>
    </row>
    <row r="303" spans="1:15" x14ac:dyDescent="0.2">
      <c r="A303">
        <v>302</v>
      </c>
      <c r="B303" t="s">
        <v>1158</v>
      </c>
      <c r="C303" t="s">
        <v>1158</v>
      </c>
      <c r="D303">
        <v>663</v>
      </c>
      <c r="E303" t="s">
        <v>1967</v>
      </c>
      <c r="F303" t="s">
        <v>1968</v>
      </c>
      <c r="G303" t="s">
        <v>1969</v>
      </c>
      <c r="H303">
        <v>269575</v>
      </c>
      <c r="I303">
        <v>167</v>
      </c>
      <c r="J303">
        <v>21.466871600000001</v>
      </c>
      <c r="K303">
        <v>83.9811665</v>
      </c>
      <c r="L303">
        <v>160.35586549999999</v>
      </c>
      <c r="M303">
        <f t="shared" si="12"/>
        <v>954.62543352476723</v>
      </c>
      <c r="N303">
        <f t="shared" si="13"/>
        <v>3.1123679776995129E-3</v>
      </c>
      <c r="O303">
        <f t="shared" si="14"/>
        <v>9.2258510619900647E-5</v>
      </c>
    </row>
    <row r="304" spans="1:15" x14ac:dyDescent="0.2">
      <c r="A304">
        <v>303</v>
      </c>
      <c r="B304" t="s">
        <v>1168</v>
      </c>
      <c r="C304" t="s">
        <v>1168</v>
      </c>
      <c r="D304">
        <v>4368</v>
      </c>
      <c r="E304" t="s">
        <v>1167</v>
      </c>
      <c r="F304" t="s">
        <v>1977</v>
      </c>
      <c r="G304" t="s">
        <v>1978</v>
      </c>
      <c r="H304">
        <v>86838</v>
      </c>
      <c r="I304">
        <v>519</v>
      </c>
      <c r="J304">
        <v>10.925439799999999</v>
      </c>
      <c r="K304">
        <v>79.838005600000002</v>
      </c>
      <c r="L304">
        <v>4.2129979129999997</v>
      </c>
      <c r="M304">
        <f t="shared" si="12"/>
        <v>1988.1696895005539</v>
      </c>
      <c r="N304">
        <f t="shared" si="13"/>
        <v>9.3480111314687767E-3</v>
      </c>
      <c r="O304">
        <f t="shared" si="14"/>
        <v>4.5112708524966092E-5</v>
      </c>
    </row>
    <row r="305" spans="1:15" x14ac:dyDescent="0.2">
      <c r="A305">
        <v>304</v>
      </c>
      <c r="B305" t="s">
        <v>1979</v>
      </c>
      <c r="C305" t="s">
        <v>1167</v>
      </c>
      <c r="D305">
        <v>413</v>
      </c>
      <c r="E305" t="s">
        <v>1167</v>
      </c>
      <c r="F305" t="s">
        <v>1977</v>
      </c>
      <c r="G305" t="s">
        <v>1978</v>
      </c>
      <c r="H305">
        <v>300104</v>
      </c>
      <c r="I305">
        <v>152</v>
      </c>
      <c r="J305">
        <v>11.948880000000001</v>
      </c>
      <c r="K305">
        <v>79.712141000000003</v>
      </c>
      <c r="L305">
        <v>19.675519940000001</v>
      </c>
      <c r="M305">
        <f t="shared" si="12"/>
        <v>1873.9253970937832</v>
      </c>
      <c r="N305">
        <f t="shared" si="13"/>
        <v>9.092774030612729E-3</v>
      </c>
      <c r="O305">
        <f t="shared" si="14"/>
        <v>4.7848086687044939E-5</v>
      </c>
    </row>
    <row r="306" spans="1:15" x14ac:dyDescent="0.2">
      <c r="A306">
        <v>305</v>
      </c>
      <c r="B306" t="s">
        <v>1167</v>
      </c>
      <c r="C306" t="s">
        <v>1167</v>
      </c>
      <c r="D306">
        <v>413</v>
      </c>
      <c r="E306" t="s">
        <v>1167</v>
      </c>
      <c r="F306" t="s">
        <v>1977</v>
      </c>
      <c r="G306" t="s">
        <v>1978</v>
      </c>
      <c r="H306">
        <v>654392</v>
      </c>
      <c r="I306">
        <v>68</v>
      </c>
      <c r="J306">
        <v>11.913859800000001</v>
      </c>
      <c r="K306">
        <v>79.814472199999997</v>
      </c>
      <c r="L306">
        <v>3.7238609789999999</v>
      </c>
      <c r="M306">
        <f t="shared" si="12"/>
        <v>1878.2497025345931</v>
      </c>
      <c r="N306">
        <f t="shared" si="13"/>
        <v>9.9211228714446171E-3</v>
      </c>
      <c r="O306">
        <f t="shared" si="14"/>
        <v>4.7753250686300096E-5</v>
      </c>
    </row>
    <row r="307" spans="1:15" x14ac:dyDescent="0.2">
      <c r="A307">
        <v>306</v>
      </c>
      <c r="B307" t="s">
        <v>1980</v>
      </c>
      <c r="C307" t="s">
        <v>1981</v>
      </c>
      <c r="D307">
        <v>1634</v>
      </c>
      <c r="E307" t="s">
        <v>1178</v>
      </c>
      <c r="F307" t="s">
        <v>1982</v>
      </c>
      <c r="G307" t="s">
        <v>1983</v>
      </c>
      <c r="H307">
        <v>145238</v>
      </c>
      <c r="I307">
        <v>308</v>
      </c>
      <c r="J307">
        <v>30.1452928</v>
      </c>
      <c r="K307">
        <v>74.199304299999994</v>
      </c>
      <c r="L307">
        <v>187</v>
      </c>
      <c r="M307">
        <f t="shared" si="12"/>
        <v>490.84976509838788</v>
      </c>
      <c r="N307">
        <f t="shared" si="13"/>
        <v>6.2490032961209127E-4</v>
      </c>
      <c r="O307">
        <f t="shared" si="14"/>
        <v>1.4656854338706258E-4</v>
      </c>
    </row>
    <row r="308" spans="1:15" x14ac:dyDescent="0.2">
      <c r="A308">
        <v>307</v>
      </c>
      <c r="B308" t="s">
        <v>1179</v>
      </c>
      <c r="C308" t="s">
        <v>1179</v>
      </c>
      <c r="D308">
        <v>183</v>
      </c>
      <c r="E308" t="s">
        <v>1178</v>
      </c>
      <c r="F308" t="s">
        <v>1982</v>
      </c>
      <c r="G308" t="s">
        <v>1983</v>
      </c>
      <c r="H308">
        <v>1132761</v>
      </c>
      <c r="I308">
        <v>38</v>
      </c>
      <c r="J308">
        <v>31.6339793</v>
      </c>
      <c r="K308">
        <v>74.872264200000004</v>
      </c>
      <c r="L308">
        <v>232.00506590000001</v>
      </c>
      <c r="M308">
        <f t="shared" si="12"/>
        <v>509.11903954106782</v>
      </c>
      <c r="N308">
        <f t="shared" si="13"/>
        <v>-8.2373159993787883E-3</v>
      </c>
      <c r="O308">
        <f t="shared" si="14"/>
        <v>-1.7409297555745669E-4</v>
      </c>
    </row>
    <row r="309" spans="1:15" x14ac:dyDescent="0.2">
      <c r="A309">
        <v>308</v>
      </c>
      <c r="B309" t="s">
        <v>1984</v>
      </c>
      <c r="C309" t="s">
        <v>1984</v>
      </c>
      <c r="D309">
        <v>1679</v>
      </c>
      <c r="E309" t="s">
        <v>1178</v>
      </c>
      <c r="F309" t="s">
        <v>1982</v>
      </c>
      <c r="G309" t="s">
        <v>1983</v>
      </c>
      <c r="H309">
        <v>116449</v>
      </c>
      <c r="I309">
        <v>388</v>
      </c>
      <c r="J309">
        <v>30.381944600000001</v>
      </c>
      <c r="K309">
        <v>75.546797900000001</v>
      </c>
      <c r="L309">
        <v>231.91371150000001</v>
      </c>
      <c r="M309">
        <f t="shared" si="12"/>
        <v>380.07324147650792</v>
      </c>
      <c r="N309">
        <f t="shared" si="13"/>
        <v>-1.1010085723855543E-2</v>
      </c>
      <c r="O309">
        <f t="shared" si="14"/>
        <v>-2.3319470558335703E-4</v>
      </c>
    </row>
    <row r="310" spans="1:15" x14ac:dyDescent="0.2">
      <c r="A310">
        <v>309</v>
      </c>
      <c r="B310" t="s">
        <v>1985</v>
      </c>
      <c r="C310" t="s">
        <v>1194</v>
      </c>
      <c r="D310">
        <v>1871</v>
      </c>
      <c r="E310" t="s">
        <v>1178</v>
      </c>
      <c r="F310" t="s">
        <v>1982</v>
      </c>
      <c r="G310" t="s">
        <v>1983</v>
      </c>
      <c r="H310">
        <v>151400</v>
      </c>
      <c r="I310">
        <v>294</v>
      </c>
      <c r="J310">
        <v>31.818323800000002</v>
      </c>
      <c r="K310">
        <v>75.207064399999993</v>
      </c>
      <c r="L310">
        <v>246.046875</v>
      </c>
      <c r="M310">
        <f t="shared" si="12"/>
        <v>497.69970720544467</v>
      </c>
      <c r="N310">
        <f t="shared" si="13"/>
        <v>-1.124765644615746E-2</v>
      </c>
      <c r="O310">
        <f t="shared" si="14"/>
        <v>-1.7877566519721396E-4</v>
      </c>
    </row>
    <row r="311" spans="1:15" x14ac:dyDescent="0.2">
      <c r="A311">
        <v>310</v>
      </c>
      <c r="B311" t="s">
        <v>1182</v>
      </c>
      <c r="C311" t="s">
        <v>1182</v>
      </c>
      <c r="D311">
        <v>164</v>
      </c>
      <c r="E311" t="s">
        <v>1178</v>
      </c>
      <c r="F311" t="s">
        <v>1982</v>
      </c>
      <c r="G311" t="s">
        <v>1983</v>
      </c>
      <c r="H311">
        <v>285788</v>
      </c>
      <c r="I311">
        <v>160</v>
      </c>
      <c r="J311">
        <v>30.210993999999999</v>
      </c>
      <c r="K311">
        <v>74.945474500000003</v>
      </c>
      <c r="L311">
        <v>207.7039795</v>
      </c>
      <c r="M311">
        <f t="shared" si="12"/>
        <v>425.24373896405098</v>
      </c>
      <c r="N311">
        <f t="shared" si="13"/>
        <v>-4.1474232502435411E-3</v>
      </c>
      <c r="O311">
        <f t="shared" si="14"/>
        <v>-2.0401193748636285E-4</v>
      </c>
    </row>
    <row r="312" spans="1:15" x14ac:dyDescent="0.2">
      <c r="A312">
        <v>311</v>
      </c>
      <c r="B312" t="s">
        <v>1191</v>
      </c>
      <c r="C312" t="s">
        <v>1191</v>
      </c>
      <c r="D312">
        <v>1632</v>
      </c>
      <c r="E312" t="s">
        <v>1178</v>
      </c>
      <c r="F312" t="s">
        <v>1982</v>
      </c>
      <c r="G312" t="s">
        <v>1983</v>
      </c>
      <c r="H312">
        <v>110091</v>
      </c>
      <c r="I312">
        <v>415</v>
      </c>
      <c r="J312">
        <v>30.933134800000001</v>
      </c>
      <c r="K312">
        <v>74.622475499999993</v>
      </c>
      <c r="L312">
        <v>199.1628723</v>
      </c>
      <c r="M312">
        <f t="shared" si="12"/>
        <v>486.82295580724912</v>
      </c>
      <c r="N312">
        <f t="shared" si="13"/>
        <v>-1.868348727499461E-3</v>
      </c>
      <c r="O312">
        <f t="shared" si="14"/>
        <v>-1.7198424649041271E-4</v>
      </c>
    </row>
    <row r="313" spans="1:15" x14ac:dyDescent="0.2">
      <c r="A313">
        <v>312</v>
      </c>
      <c r="B313" t="s">
        <v>1196</v>
      </c>
      <c r="C313" t="s">
        <v>1196</v>
      </c>
      <c r="D313">
        <v>1882</v>
      </c>
      <c r="E313" t="s">
        <v>1178</v>
      </c>
      <c r="F313" t="s">
        <v>1982</v>
      </c>
      <c r="G313" t="s">
        <v>1983</v>
      </c>
      <c r="H313">
        <v>168443</v>
      </c>
      <c r="I313">
        <v>259</v>
      </c>
      <c r="J313">
        <v>31.514317800000001</v>
      </c>
      <c r="K313">
        <v>75.911483000000004</v>
      </c>
      <c r="L313">
        <v>297.83752440000001</v>
      </c>
      <c r="M313">
        <f t="shared" si="12"/>
        <v>425.89961510526393</v>
      </c>
      <c r="N313">
        <f t="shared" si="13"/>
        <v>-2.5304132424107471E-2</v>
      </c>
      <c r="O313">
        <f t="shared" si="14"/>
        <v>-2.1006914397668372E-4</v>
      </c>
    </row>
    <row r="314" spans="1:15" x14ac:dyDescent="0.2">
      <c r="A314">
        <v>313</v>
      </c>
      <c r="B314" t="s">
        <v>1198</v>
      </c>
      <c r="C314" t="s">
        <v>1198</v>
      </c>
      <c r="D314">
        <v>181</v>
      </c>
      <c r="E314" t="s">
        <v>1178</v>
      </c>
      <c r="F314" t="s">
        <v>1982</v>
      </c>
      <c r="G314" t="s">
        <v>1983</v>
      </c>
      <c r="H314">
        <v>862196</v>
      </c>
      <c r="I314">
        <v>59</v>
      </c>
      <c r="J314">
        <v>31.326015200000001</v>
      </c>
      <c r="K314">
        <v>75.576182900000006</v>
      </c>
      <c r="L314">
        <v>240.4796906</v>
      </c>
      <c r="M314">
        <f t="shared" si="12"/>
        <v>435.52999155621927</v>
      </c>
      <c r="N314">
        <f t="shared" si="13"/>
        <v>-1.157494771367373E-2</v>
      </c>
      <c r="O314">
        <f t="shared" si="14"/>
        <v>-2.04035562779514E-4</v>
      </c>
    </row>
    <row r="315" spans="1:15" x14ac:dyDescent="0.2">
      <c r="A315">
        <v>314</v>
      </c>
      <c r="B315" t="s">
        <v>1201</v>
      </c>
      <c r="C315" t="s">
        <v>1201</v>
      </c>
      <c r="D315">
        <v>1822</v>
      </c>
      <c r="E315" t="s">
        <v>1178</v>
      </c>
      <c r="F315" t="s">
        <v>1982</v>
      </c>
      <c r="G315" t="s">
        <v>1983</v>
      </c>
      <c r="H315">
        <v>101654</v>
      </c>
      <c r="I315">
        <v>454</v>
      </c>
      <c r="J315">
        <v>31.367197000000001</v>
      </c>
      <c r="K315">
        <v>75.374504000000002</v>
      </c>
      <c r="L315">
        <v>227</v>
      </c>
      <c r="M315">
        <f t="shared" si="12"/>
        <v>453.3134736715856</v>
      </c>
      <c r="N315">
        <f t="shared" si="13"/>
        <v>-8.147271225111833E-3</v>
      </c>
      <c r="O315">
        <f t="shared" si="14"/>
        <v>-1.9511668369703346E-4</v>
      </c>
    </row>
    <row r="316" spans="1:15" x14ac:dyDescent="0.2">
      <c r="A316">
        <v>315</v>
      </c>
      <c r="B316" t="s">
        <v>1986</v>
      </c>
      <c r="C316" t="s">
        <v>1204</v>
      </c>
      <c r="D316">
        <v>1628</v>
      </c>
      <c r="E316" t="s">
        <v>1178</v>
      </c>
      <c r="F316" t="s">
        <v>1982</v>
      </c>
      <c r="G316" t="s">
        <v>1983</v>
      </c>
      <c r="H316">
        <v>128137</v>
      </c>
      <c r="I316">
        <v>356</v>
      </c>
      <c r="J316">
        <v>30.697852000000001</v>
      </c>
      <c r="K316">
        <v>76.211228599999998</v>
      </c>
      <c r="L316">
        <v>264.3095093</v>
      </c>
      <c r="M316">
        <f t="shared" si="12"/>
        <v>344.69620924779849</v>
      </c>
      <c r="N316">
        <f t="shared" si="13"/>
        <v>-2.1538440373920116E-2</v>
      </c>
      <c r="O316">
        <f t="shared" si="14"/>
        <v>-2.588607090543489E-4</v>
      </c>
    </row>
    <row r="317" spans="1:15" x14ac:dyDescent="0.2">
      <c r="A317">
        <v>316</v>
      </c>
      <c r="B317" t="s">
        <v>1204</v>
      </c>
      <c r="C317" t="s">
        <v>1204</v>
      </c>
      <c r="D317">
        <v>161</v>
      </c>
      <c r="E317" t="s">
        <v>1178</v>
      </c>
      <c r="F317" t="s">
        <v>1982</v>
      </c>
      <c r="G317" t="s">
        <v>1983</v>
      </c>
      <c r="H317">
        <v>1618879</v>
      </c>
      <c r="I317">
        <v>24</v>
      </c>
      <c r="J317">
        <v>30.900964999999999</v>
      </c>
      <c r="K317">
        <v>75.857275799999996</v>
      </c>
      <c r="L317">
        <v>251.86927800000001</v>
      </c>
      <c r="M317">
        <f t="shared" si="12"/>
        <v>385.28705832338687</v>
      </c>
      <c r="N317">
        <f t="shared" si="13"/>
        <v>-1.604049626502823E-2</v>
      </c>
      <c r="O317">
        <f t="shared" si="14"/>
        <v>-2.3118605243556428E-4</v>
      </c>
    </row>
    <row r="318" spans="1:15" x14ac:dyDescent="0.2">
      <c r="A318">
        <v>317</v>
      </c>
      <c r="B318" t="s">
        <v>1987</v>
      </c>
      <c r="C318" t="s">
        <v>1221</v>
      </c>
      <c r="D318">
        <v>1675</v>
      </c>
      <c r="E318" t="s">
        <v>1178</v>
      </c>
      <c r="F318" t="s">
        <v>1982</v>
      </c>
      <c r="G318" t="s">
        <v>1983</v>
      </c>
      <c r="H318">
        <v>135424</v>
      </c>
      <c r="I318">
        <v>336</v>
      </c>
      <c r="J318">
        <v>30.523207599999999</v>
      </c>
      <c r="K318">
        <v>75.888250799999994</v>
      </c>
      <c r="L318">
        <v>250.10868840000001</v>
      </c>
      <c r="M318">
        <f t="shared" si="12"/>
        <v>359.19504844877298</v>
      </c>
      <c r="N318">
        <f t="shared" si="13"/>
        <v>-1.6715532928222664E-2</v>
      </c>
      <c r="O318">
        <f t="shared" si="14"/>
        <v>-2.4790379729452234E-4</v>
      </c>
    </row>
    <row r="319" spans="1:15" x14ac:dyDescent="0.2">
      <c r="A319">
        <v>318</v>
      </c>
      <c r="B319" t="s">
        <v>1209</v>
      </c>
      <c r="C319" t="s">
        <v>1209</v>
      </c>
      <c r="D319">
        <v>1636</v>
      </c>
      <c r="E319" t="s">
        <v>1178</v>
      </c>
      <c r="F319" t="s">
        <v>1982</v>
      </c>
      <c r="G319" t="s">
        <v>1983</v>
      </c>
      <c r="H319">
        <v>141432</v>
      </c>
      <c r="I319">
        <v>322</v>
      </c>
      <c r="J319">
        <v>30.816460299999999</v>
      </c>
      <c r="K319">
        <v>75.171709300000003</v>
      </c>
      <c r="L319">
        <v>223.48072809999999</v>
      </c>
      <c r="M319">
        <f t="shared" si="12"/>
        <v>434.73892793616869</v>
      </c>
      <c r="N319">
        <f t="shared" si="13"/>
        <v>-7.6858556142241699E-3</v>
      </c>
      <c r="O319">
        <f t="shared" si="14"/>
        <v>-2.0307764452136561E-4</v>
      </c>
    </row>
    <row r="320" spans="1:15" x14ac:dyDescent="0.2">
      <c r="A320">
        <v>319</v>
      </c>
      <c r="B320" t="s">
        <v>1988</v>
      </c>
      <c r="C320" t="s">
        <v>1988</v>
      </c>
      <c r="D320">
        <v>172</v>
      </c>
      <c r="E320" t="s">
        <v>1178</v>
      </c>
      <c r="F320" t="s">
        <v>1982</v>
      </c>
      <c r="G320" t="s">
        <v>1983</v>
      </c>
      <c r="H320">
        <v>146104</v>
      </c>
      <c r="I320">
        <v>305</v>
      </c>
      <c r="J320">
        <v>30.704648599999999</v>
      </c>
      <c r="K320">
        <v>76.717872600000007</v>
      </c>
      <c r="L320">
        <v>316.61434939999998</v>
      </c>
      <c r="M320">
        <f t="shared" si="12"/>
        <v>308.15112277569403</v>
      </c>
      <c r="N320">
        <f t="shared" si="13"/>
        <v>-4.1066547627708859E-2</v>
      </c>
      <c r="O320">
        <f t="shared" si="14"/>
        <v>-2.9059523091415725E-4</v>
      </c>
    </row>
    <row r="321" spans="1:15" x14ac:dyDescent="0.2">
      <c r="A321">
        <v>320</v>
      </c>
      <c r="B321" t="s">
        <v>1989</v>
      </c>
      <c r="C321" t="s">
        <v>1211</v>
      </c>
      <c r="D321">
        <v>1633</v>
      </c>
      <c r="E321" t="s">
        <v>1178</v>
      </c>
      <c r="F321" t="s">
        <v>1982</v>
      </c>
      <c r="G321" t="s">
        <v>1983</v>
      </c>
      <c r="H321">
        <v>117085</v>
      </c>
      <c r="I321">
        <v>385</v>
      </c>
      <c r="J321">
        <v>30.476680999999999</v>
      </c>
      <c r="K321">
        <v>74.511289000000005</v>
      </c>
      <c r="L321">
        <v>201.9296875</v>
      </c>
      <c r="M321">
        <f t="shared" si="12"/>
        <v>474.83695514414865</v>
      </c>
      <c r="N321">
        <f t="shared" si="13"/>
        <v>-2.4981976595311291E-3</v>
      </c>
      <c r="O321">
        <f t="shared" si="14"/>
        <v>-1.7939072669515726E-4</v>
      </c>
    </row>
    <row r="322" spans="1:15" x14ac:dyDescent="0.2">
      <c r="A322">
        <v>321</v>
      </c>
      <c r="B322" t="s">
        <v>1990</v>
      </c>
      <c r="C322" t="s">
        <v>1990</v>
      </c>
      <c r="D322">
        <v>186</v>
      </c>
      <c r="E322" t="s">
        <v>1178</v>
      </c>
      <c r="F322" t="s">
        <v>1982</v>
      </c>
      <c r="G322" t="s">
        <v>1983</v>
      </c>
      <c r="H322">
        <v>143357</v>
      </c>
      <c r="I322">
        <v>315</v>
      </c>
      <c r="J322">
        <v>32.264337500000003</v>
      </c>
      <c r="K322">
        <v>75.642112100000006</v>
      </c>
      <c r="L322">
        <v>330.33911130000001</v>
      </c>
      <c r="M322">
        <f t="shared" si="12"/>
        <v>504.2049405850492</v>
      </c>
      <c r="N322">
        <f t="shared" si="13"/>
        <v>-2.7820391711599859E-2</v>
      </c>
      <c r="O322">
        <f t="shared" si="14"/>
        <v>-1.7768874739298234E-4</v>
      </c>
    </row>
    <row r="323" spans="1:15" x14ac:dyDescent="0.2">
      <c r="A323">
        <v>322</v>
      </c>
      <c r="B323" t="s">
        <v>1215</v>
      </c>
      <c r="C323" t="s">
        <v>1215</v>
      </c>
      <c r="D323">
        <v>175</v>
      </c>
      <c r="E323" t="s">
        <v>1178</v>
      </c>
      <c r="F323" t="s">
        <v>1982</v>
      </c>
      <c r="G323" t="s">
        <v>1983</v>
      </c>
      <c r="H323">
        <v>445196</v>
      </c>
      <c r="I323">
        <v>100</v>
      </c>
      <c r="J323">
        <v>30.339780900000001</v>
      </c>
      <c r="K323">
        <v>76.386879699999994</v>
      </c>
      <c r="L323">
        <v>255</v>
      </c>
      <c r="M323">
        <f t="shared" ref="M323:M386" si="15">2*6371*ASIN(SQRT(
    SIN(RADIANS(J323-$V$6)/2)^2 +
    COS(RADIANS($V$6)) * COS(RADIANS(J323)) *
    SIN(RADIANS(K323-$V$7)/2)^2
))</f>
        <v>307.91743546256345</v>
      </c>
      <c r="N323">
        <f t="shared" ref="N323:N386" si="16">($V$5-L323)/(M323*1000)*100</f>
        <v>-2.1087691284014509E-2</v>
      </c>
      <c r="O323">
        <f t="shared" ref="O323:O386" si="17">DEGREES(ATAN($V$5-L323)/(M323*1000))</f>
        <v>-2.8942070844318414E-4</v>
      </c>
    </row>
    <row r="324" spans="1:15" x14ac:dyDescent="0.2">
      <c r="A324">
        <v>323</v>
      </c>
      <c r="B324" t="s">
        <v>1991</v>
      </c>
      <c r="C324" t="s">
        <v>1201</v>
      </c>
      <c r="D324">
        <v>1824</v>
      </c>
      <c r="E324" t="s">
        <v>1178</v>
      </c>
      <c r="F324" t="s">
        <v>1982</v>
      </c>
      <c r="G324" t="s">
        <v>1983</v>
      </c>
      <c r="H324">
        <v>97864</v>
      </c>
      <c r="I324">
        <v>474</v>
      </c>
      <c r="J324">
        <v>31.224019800000001</v>
      </c>
      <c r="K324">
        <v>75.770801300000002</v>
      </c>
      <c r="L324">
        <v>248.72529599999999</v>
      </c>
      <c r="M324">
        <f t="shared" si="15"/>
        <v>414.05696979105824</v>
      </c>
      <c r="N324">
        <f t="shared" si="16"/>
        <v>-1.4166643355768173E-2</v>
      </c>
      <c r="O324">
        <f t="shared" si="17"/>
        <v>-2.1500258122691192E-4</v>
      </c>
    </row>
    <row r="325" spans="1:15" x14ac:dyDescent="0.2">
      <c r="A325">
        <v>324</v>
      </c>
      <c r="B325" t="s">
        <v>1992</v>
      </c>
      <c r="C325" t="s">
        <v>1215</v>
      </c>
      <c r="D325">
        <v>1762</v>
      </c>
      <c r="E325" t="s">
        <v>1178</v>
      </c>
      <c r="F325" t="s">
        <v>1982</v>
      </c>
      <c r="G325" t="s">
        <v>1983</v>
      </c>
      <c r="H325">
        <v>92193</v>
      </c>
      <c r="I325">
        <v>505</v>
      </c>
      <c r="J325">
        <v>30.483996999999999</v>
      </c>
      <c r="K325">
        <v>76.593951599999997</v>
      </c>
      <c r="L325">
        <v>276.47610470000001</v>
      </c>
      <c r="M325">
        <f t="shared" si="15"/>
        <v>301.16866653106052</v>
      </c>
      <c r="N325">
        <f t="shared" si="16"/>
        <v>-2.8691159639971504E-2</v>
      </c>
      <c r="O325">
        <f t="shared" si="17"/>
        <v>-2.9663428283351311E-4</v>
      </c>
    </row>
    <row r="326" spans="1:15" x14ac:dyDescent="0.2">
      <c r="A326">
        <v>325</v>
      </c>
      <c r="B326" t="s">
        <v>1993</v>
      </c>
      <c r="C326" t="s">
        <v>1988</v>
      </c>
      <c r="D326">
        <v>1762</v>
      </c>
      <c r="E326" t="s">
        <v>1178</v>
      </c>
      <c r="F326" t="s">
        <v>1982</v>
      </c>
      <c r="G326" t="s">
        <v>1983</v>
      </c>
      <c r="H326">
        <v>95553</v>
      </c>
      <c r="I326">
        <v>487</v>
      </c>
      <c r="J326">
        <v>30.642549599999999</v>
      </c>
      <c r="K326">
        <v>76.817335900000003</v>
      </c>
      <c r="L326">
        <v>300.64608759999999</v>
      </c>
      <c r="M326">
        <f t="shared" si="15"/>
        <v>296.49276750224726</v>
      </c>
      <c r="N326">
        <f t="shared" si="16"/>
        <v>-3.7295603104099954E-2</v>
      </c>
      <c r="O326">
        <f t="shared" si="17"/>
        <v>-3.0180118852906712E-4</v>
      </c>
    </row>
    <row r="327" spans="1:15" x14ac:dyDescent="0.2">
      <c r="A327">
        <v>326</v>
      </c>
      <c r="B327" t="s">
        <v>1225</v>
      </c>
      <c r="C327" t="s">
        <v>1225</v>
      </c>
      <c r="D327">
        <v>145</v>
      </c>
      <c r="E327" t="s">
        <v>1224</v>
      </c>
      <c r="F327" t="s">
        <v>1994</v>
      </c>
      <c r="G327" t="s">
        <v>1995</v>
      </c>
      <c r="H327">
        <v>551101</v>
      </c>
      <c r="I327">
        <v>79</v>
      </c>
      <c r="J327">
        <v>26.449895399999999</v>
      </c>
      <c r="K327">
        <v>74.639916299999996</v>
      </c>
      <c r="L327">
        <v>477.6025391</v>
      </c>
      <c r="M327">
        <f t="shared" si="15"/>
        <v>504.23295884385044</v>
      </c>
      <c r="N327">
        <f t="shared" si="16"/>
        <v>-5.7024280594288407E-2</v>
      </c>
      <c r="O327">
        <f t="shared" si="17"/>
        <v>-1.7809374411067492E-4</v>
      </c>
    </row>
    <row r="328" spans="1:15" x14ac:dyDescent="0.2">
      <c r="A328">
        <v>327</v>
      </c>
      <c r="B328" t="s">
        <v>1227</v>
      </c>
      <c r="C328" t="s">
        <v>1227</v>
      </c>
      <c r="D328">
        <v>144</v>
      </c>
      <c r="E328" t="s">
        <v>1224</v>
      </c>
      <c r="F328" t="s">
        <v>1994</v>
      </c>
      <c r="G328" t="s">
        <v>1995</v>
      </c>
      <c r="H328">
        <v>341422</v>
      </c>
      <c r="I328">
        <v>130</v>
      </c>
      <c r="J328">
        <v>27.552990699999999</v>
      </c>
      <c r="K328">
        <v>76.634573500000002</v>
      </c>
      <c r="L328">
        <v>265.37371830000001</v>
      </c>
      <c r="M328">
        <f t="shared" si="15"/>
        <v>271.65196658617953</v>
      </c>
      <c r="N328">
        <f t="shared" si="16"/>
        <v>-2.7721645989302872E-2</v>
      </c>
      <c r="O328">
        <f t="shared" si="17"/>
        <v>-3.2850566237897636E-4</v>
      </c>
    </row>
    <row r="329" spans="1:15" x14ac:dyDescent="0.2">
      <c r="A329">
        <v>328</v>
      </c>
      <c r="B329" t="s">
        <v>1230</v>
      </c>
      <c r="C329" t="s">
        <v>1230</v>
      </c>
      <c r="D329">
        <v>2962</v>
      </c>
      <c r="E329" t="s">
        <v>1224</v>
      </c>
      <c r="F329" t="s">
        <v>1994</v>
      </c>
      <c r="G329" t="s">
        <v>1995</v>
      </c>
      <c r="H329">
        <v>100128</v>
      </c>
      <c r="I329">
        <v>464</v>
      </c>
      <c r="J329">
        <v>23.546139400000001</v>
      </c>
      <c r="K329">
        <v>74.4349761</v>
      </c>
      <c r="L329">
        <v>216.43576049999999</v>
      </c>
      <c r="M329">
        <f t="shared" si="15"/>
        <v>741.2553327830509</v>
      </c>
      <c r="N329">
        <f t="shared" si="16"/>
        <v>-3.5572679930678413E-3</v>
      </c>
      <c r="O329">
        <f t="shared" si="17"/>
        <v>-1.18485688468166E-4</v>
      </c>
    </row>
    <row r="330" spans="1:15" x14ac:dyDescent="0.2">
      <c r="A330">
        <v>329</v>
      </c>
      <c r="B330" t="s">
        <v>1233</v>
      </c>
      <c r="C330" t="s">
        <v>1233</v>
      </c>
      <c r="D330">
        <v>7453</v>
      </c>
      <c r="E330" t="s">
        <v>1224</v>
      </c>
      <c r="F330" t="s">
        <v>1994</v>
      </c>
      <c r="G330" t="s">
        <v>1995</v>
      </c>
      <c r="H330">
        <v>117992</v>
      </c>
      <c r="I330">
        <v>382</v>
      </c>
      <c r="J330">
        <v>25.101143799999999</v>
      </c>
      <c r="K330">
        <v>76.513163700000007</v>
      </c>
      <c r="L330">
        <v>265.55181879999998</v>
      </c>
      <c r="M330">
        <f t="shared" si="15"/>
        <v>479.7245389170896</v>
      </c>
      <c r="N330">
        <f t="shared" si="16"/>
        <v>-1.5734966814579796E-2</v>
      </c>
      <c r="O330">
        <f t="shared" si="17"/>
        <v>-1.8602551423549466E-4</v>
      </c>
    </row>
    <row r="331" spans="1:15" x14ac:dyDescent="0.2">
      <c r="A331">
        <v>330</v>
      </c>
      <c r="B331" t="s">
        <v>1236</v>
      </c>
      <c r="C331" t="s">
        <v>1236</v>
      </c>
      <c r="D331">
        <v>2982</v>
      </c>
      <c r="E331" t="s">
        <v>1224</v>
      </c>
      <c r="F331" t="s">
        <v>1994</v>
      </c>
      <c r="G331" t="s">
        <v>1995</v>
      </c>
      <c r="H331">
        <v>189715</v>
      </c>
      <c r="I331">
        <v>232</v>
      </c>
      <c r="J331">
        <v>25.753153699999999</v>
      </c>
      <c r="K331">
        <v>71.418062199999994</v>
      </c>
      <c r="L331">
        <v>173</v>
      </c>
      <c r="M331">
        <f t="shared" si="15"/>
        <v>823.90040033676996</v>
      </c>
      <c r="N331">
        <f t="shared" si="16"/>
        <v>2.0715273099786964E-3</v>
      </c>
      <c r="O331">
        <f t="shared" si="17"/>
        <v>1.0516658068783465E-4</v>
      </c>
    </row>
    <row r="332" spans="1:15" x14ac:dyDescent="0.2">
      <c r="A332">
        <v>331</v>
      </c>
      <c r="B332" t="s">
        <v>1996</v>
      </c>
      <c r="C332" t="s">
        <v>1996</v>
      </c>
      <c r="D332">
        <v>1462</v>
      </c>
      <c r="E332" t="s">
        <v>1224</v>
      </c>
      <c r="F332" t="s">
        <v>1994</v>
      </c>
      <c r="G332" t="s">
        <v>1995</v>
      </c>
      <c r="H332">
        <v>151152</v>
      </c>
      <c r="I332">
        <v>295</v>
      </c>
      <c r="J332">
        <v>26.100733699999999</v>
      </c>
      <c r="K332">
        <v>74.319074700000002</v>
      </c>
      <c r="L332">
        <v>453.15426639999998</v>
      </c>
      <c r="M332">
        <f t="shared" si="15"/>
        <v>552.19869672360505</v>
      </c>
      <c r="N332">
        <f t="shared" si="16"/>
        <v>-4.7643528708233129E-2</v>
      </c>
      <c r="O332">
        <f t="shared" si="17"/>
        <v>-1.6259042062735115E-4</v>
      </c>
    </row>
    <row r="333" spans="1:15" x14ac:dyDescent="0.2">
      <c r="A333">
        <v>332</v>
      </c>
      <c r="B333" t="s">
        <v>1239</v>
      </c>
      <c r="C333" t="s">
        <v>1239</v>
      </c>
      <c r="D333">
        <v>5644</v>
      </c>
      <c r="E333" t="s">
        <v>1224</v>
      </c>
      <c r="F333" t="s">
        <v>1994</v>
      </c>
      <c r="G333" t="s">
        <v>1995</v>
      </c>
      <c r="H333">
        <v>252000</v>
      </c>
      <c r="I333">
        <v>177</v>
      </c>
      <c r="J333">
        <v>27.216981000000001</v>
      </c>
      <c r="K333">
        <v>77.489514999999997</v>
      </c>
      <c r="L333">
        <v>181.112854</v>
      </c>
      <c r="M333">
        <f t="shared" si="15"/>
        <v>230.8414449936468</v>
      </c>
      <c r="N333">
        <f t="shared" si="16"/>
        <v>3.879055513729975E-3</v>
      </c>
      <c r="O333">
        <f t="shared" si="17"/>
        <v>3.622739140277087E-4</v>
      </c>
    </row>
    <row r="334" spans="1:15" x14ac:dyDescent="0.2">
      <c r="A334">
        <v>333</v>
      </c>
      <c r="B334" t="s">
        <v>1242</v>
      </c>
      <c r="C334" t="s">
        <v>1242</v>
      </c>
      <c r="D334">
        <v>1482</v>
      </c>
      <c r="E334" t="s">
        <v>1224</v>
      </c>
      <c r="F334" t="s">
        <v>1994</v>
      </c>
      <c r="G334" t="s">
        <v>1995</v>
      </c>
      <c r="H334">
        <v>359483</v>
      </c>
      <c r="I334">
        <v>122</v>
      </c>
      <c r="J334">
        <v>25.321376999999998</v>
      </c>
      <c r="K334">
        <v>74.586952999999994</v>
      </c>
      <c r="L334">
        <v>427.1775513</v>
      </c>
      <c r="M334">
        <f t="shared" si="15"/>
        <v>584.5657275690603</v>
      </c>
      <c r="N334">
        <f t="shared" si="16"/>
        <v>-4.0561774034552502E-2</v>
      </c>
      <c r="O334">
        <f t="shared" si="17"/>
        <v>-1.5354707818825575E-4</v>
      </c>
    </row>
    <row r="335" spans="1:15" x14ac:dyDescent="0.2">
      <c r="A335">
        <v>334</v>
      </c>
      <c r="B335" t="s">
        <v>1997</v>
      </c>
      <c r="C335" t="s">
        <v>1227</v>
      </c>
      <c r="D335">
        <v>1493</v>
      </c>
      <c r="E335" t="s">
        <v>1224</v>
      </c>
      <c r="F335" t="s">
        <v>1994</v>
      </c>
      <c r="G335" t="s">
        <v>1995</v>
      </c>
      <c r="H335">
        <v>104883</v>
      </c>
      <c r="I335">
        <v>439</v>
      </c>
      <c r="J335">
        <v>28.208821799999999</v>
      </c>
      <c r="K335">
        <v>76.844599900000006</v>
      </c>
      <c r="L335">
        <v>264.05551150000002</v>
      </c>
      <c r="M335">
        <f t="shared" si="15"/>
        <v>222.6238092796099</v>
      </c>
      <c r="N335">
        <f t="shared" si="16"/>
        <v>-3.3234625685104824E-2</v>
      </c>
      <c r="O335">
        <f t="shared" si="17"/>
        <v>-4.0079116674280593E-4</v>
      </c>
    </row>
    <row r="336" spans="1:15" x14ac:dyDescent="0.2">
      <c r="A336">
        <v>335</v>
      </c>
      <c r="B336" t="s">
        <v>1245</v>
      </c>
      <c r="C336" t="s">
        <v>1245</v>
      </c>
      <c r="D336">
        <v>151</v>
      </c>
      <c r="E336" t="s">
        <v>1224</v>
      </c>
      <c r="F336" t="s">
        <v>1994</v>
      </c>
      <c r="G336" t="s">
        <v>1995</v>
      </c>
      <c r="H336">
        <v>644406</v>
      </c>
      <c r="I336">
        <v>70</v>
      </c>
      <c r="J336">
        <v>28.022934800000002</v>
      </c>
      <c r="K336">
        <v>73.311915900000002</v>
      </c>
      <c r="L336">
        <v>225.29499820000001</v>
      </c>
      <c r="M336">
        <f t="shared" si="15"/>
        <v>565.17489156775059</v>
      </c>
      <c r="N336">
        <f t="shared" si="16"/>
        <v>-6.2330575766168959E-3</v>
      </c>
      <c r="O336">
        <f t="shared" si="17"/>
        <v>-1.5636574761959337E-4</v>
      </c>
    </row>
    <row r="337" spans="1:15" x14ac:dyDescent="0.2">
      <c r="A337">
        <v>336</v>
      </c>
      <c r="B337" t="s">
        <v>1248</v>
      </c>
      <c r="C337" t="s">
        <v>1248</v>
      </c>
      <c r="D337">
        <v>747</v>
      </c>
      <c r="E337" t="s">
        <v>1224</v>
      </c>
      <c r="F337" t="s">
        <v>1994</v>
      </c>
      <c r="G337" t="s">
        <v>1995</v>
      </c>
      <c r="H337">
        <v>104457</v>
      </c>
      <c r="I337">
        <v>441</v>
      </c>
      <c r="J337">
        <v>25.4305144</v>
      </c>
      <c r="K337">
        <v>75.649902499999996</v>
      </c>
      <c r="L337">
        <v>264.71514889999997</v>
      </c>
      <c r="M337">
        <f t="shared" si="15"/>
        <v>501.01677496631709</v>
      </c>
      <c r="N337">
        <f t="shared" si="16"/>
        <v>-1.4899267016562164E-2</v>
      </c>
      <c r="O337">
        <f t="shared" si="17"/>
        <v>-1.7810281514293131E-4</v>
      </c>
    </row>
    <row r="338" spans="1:15" x14ac:dyDescent="0.2">
      <c r="A338">
        <v>337</v>
      </c>
      <c r="B338" t="s">
        <v>1998</v>
      </c>
      <c r="C338" t="s">
        <v>1998</v>
      </c>
      <c r="D338">
        <v>1472</v>
      </c>
      <c r="E338" t="s">
        <v>1224</v>
      </c>
      <c r="F338" t="s">
        <v>1994</v>
      </c>
      <c r="G338" t="s">
        <v>1995</v>
      </c>
      <c r="H338">
        <v>154439</v>
      </c>
      <c r="I338">
        <v>287</v>
      </c>
      <c r="J338">
        <v>24.8887435</v>
      </c>
      <c r="K338">
        <v>74.626921600000003</v>
      </c>
      <c r="L338">
        <v>400.57449339999999</v>
      </c>
      <c r="M338">
        <f t="shared" si="15"/>
        <v>615.12193918164166</v>
      </c>
      <c r="N338">
        <f t="shared" si="16"/>
        <v>-3.4222023015478643E-2</v>
      </c>
      <c r="O338">
        <f t="shared" si="17"/>
        <v>-1.4586997573751875E-4</v>
      </c>
    </row>
    <row r="339" spans="1:15" x14ac:dyDescent="0.2">
      <c r="A339">
        <v>338</v>
      </c>
      <c r="B339" t="s">
        <v>1254</v>
      </c>
      <c r="C339" t="s">
        <v>1254</v>
      </c>
      <c r="D339">
        <v>1562</v>
      </c>
      <c r="E339" t="s">
        <v>1224</v>
      </c>
      <c r="F339" t="s">
        <v>1994</v>
      </c>
      <c r="G339" t="s">
        <v>1995</v>
      </c>
      <c r="H339">
        <v>120157</v>
      </c>
      <c r="I339">
        <v>373</v>
      </c>
      <c r="J339">
        <v>28.292048399999999</v>
      </c>
      <c r="K339">
        <v>74.961792399999993</v>
      </c>
      <c r="L339">
        <v>290.70175169999999</v>
      </c>
      <c r="M339">
        <f t="shared" si="15"/>
        <v>400.71054893024893</v>
      </c>
      <c r="N339">
        <f t="shared" si="16"/>
        <v>-2.5113995668109367E-2</v>
      </c>
      <c r="O339">
        <f t="shared" si="17"/>
        <v>-2.2318023142013719E-4</v>
      </c>
    </row>
    <row r="340" spans="1:15" x14ac:dyDescent="0.2">
      <c r="A340">
        <v>339</v>
      </c>
      <c r="B340" t="s">
        <v>1257</v>
      </c>
      <c r="C340" t="s">
        <v>1257</v>
      </c>
      <c r="D340">
        <v>1427</v>
      </c>
      <c r="E340" t="s">
        <v>1224</v>
      </c>
      <c r="F340" t="s">
        <v>1994</v>
      </c>
      <c r="G340" t="s">
        <v>1995</v>
      </c>
      <c r="H340">
        <v>85960</v>
      </c>
      <c r="I340">
        <v>520</v>
      </c>
      <c r="J340">
        <v>26.893193100000001</v>
      </c>
      <c r="K340">
        <v>76.337528399999997</v>
      </c>
      <c r="L340">
        <v>345.1671753</v>
      </c>
      <c r="M340">
        <f t="shared" si="15"/>
        <v>338.02267207478241</v>
      </c>
      <c r="N340">
        <f t="shared" si="16"/>
        <v>-4.5884452823237401E-2</v>
      </c>
      <c r="O340">
        <f t="shared" si="17"/>
        <v>-2.6516148268814388E-4</v>
      </c>
    </row>
    <row r="341" spans="1:15" x14ac:dyDescent="0.2">
      <c r="A341">
        <v>340</v>
      </c>
      <c r="B341" t="s">
        <v>1999</v>
      </c>
      <c r="C341" t="s">
        <v>1999</v>
      </c>
      <c r="D341">
        <v>5642</v>
      </c>
      <c r="E341" t="s">
        <v>1224</v>
      </c>
      <c r="F341" t="s">
        <v>1994</v>
      </c>
      <c r="G341" t="s">
        <v>1995</v>
      </c>
      <c r="H341">
        <v>133075</v>
      </c>
      <c r="I341">
        <v>340</v>
      </c>
      <c r="J341">
        <v>26.702518099999999</v>
      </c>
      <c r="K341">
        <v>77.893390999999994</v>
      </c>
      <c r="L341">
        <v>179.6394196</v>
      </c>
      <c r="M341">
        <f t="shared" si="15"/>
        <v>257.37187974605149</v>
      </c>
      <c r="N341">
        <f t="shared" si="16"/>
        <v>4.0516866917587125E-3</v>
      </c>
      <c r="O341">
        <f t="shared" si="17"/>
        <v>3.2840527089823666E-4</v>
      </c>
    </row>
    <row r="342" spans="1:15" x14ac:dyDescent="0.2">
      <c r="A342">
        <v>341</v>
      </c>
      <c r="B342" t="s">
        <v>1496</v>
      </c>
      <c r="C342" t="s">
        <v>1306</v>
      </c>
      <c r="D342">
        <v>1571</v>
      </c>
      <c r="E342" t="s">
        <v>1224</v>
      </c>
      <c r="F342" t="s">
        <v>1994</v>
      </c>
      <c r="G342" t="s">
        <v>1995</v>
      </c>
      <c r="H342">
        <v>92595</v>
      </c>
      <c r="I342">
        <v>501</v>
      </c>
      <c r="J342">
        <v>27.995020400000001</v>
      </c>
      <c r="K342">
        <v>74.961792399999993</v>
      </c>
      <c r="L342">
        <v>326.6806641</v>
      </c>
      <c r="M342">
        <f t="shared" si="15"/>
        <v>407.12751020255956</v>
      </c>
      <c r="N342">
        <f t="shared" si="16"/>
        <v>-3.3555419095120907E-2</v>
      </c>
      <c r="O342">
        <f t="shared" si="17"/>
        <v>-2.2003083602389212E-4</v>
      </c>
    </row>
    <row r="343" spans="1:15" x14ac:dyDescent="0.2">
      <c r="A343">
        <v>342</v>
      </c>
      <c r="B343" t="s">
        <v>2000</v>
      </c>
      <c r="C343" t="s">
        <v>1304</v>
      </c>
      <c r="D343">
        <v>7463</v>
      </c>
      <c r="E343" t="s">
        <v>1224</v>
      </c>
      <c r="F343" t="s">
        <v>1994</v>
      </c>
      <c r="G343" t="s">
        <v>1995</v>
      </c>
      <c r="H343">
        <v>130061</v>
      </c>
      <c r="I343">
        <v>351</v>
      </c>
      <c r="J343">
        <v>26.478446000000002</v>
      </c>
      <c r="K343">
        <v>76.732221999999993</v>
      </c>
      <c r="L343">
        <v>264.56375120000001</v>
      </c>
      <c r="M343">
        <f t="shared" si="15"/>
        <v>342.08822219353237</v>
      </c>
      <c r="N343">
        <f t="shared" si="16"/>
        <v>-2.1776964118295349E-2</v>
      </c>
      <c r="O343">
        <f t="shared" si="17"/>
        <v>-2.6084189011382454E-4</v>
      </c>
    </row>
    <row r="344" spans="1:15" x14ac:dyDescent="0.2">
      <c r="A344">
        <v>343</v>
      </c>
      <c r="B344" t="s">
        <v>1269</v>
      </c>
      <c r="C344" t="s">
        <v>1269</v>
      </c>
      <c r="D344">
        <v>1552</v>
      </c>
      <c r="E344" t="s">
        <v>1224</v>
      </c>
      <c r="F344" t="s">
        <v>1994</v>
      </c>
      <c r="G344" t="s">
        <v>1995</v>
      </c>
      <c r="H344">
        <v>150958</v>
      </c>
      <c r="I344">
        <v>297</v>
      </c>
      <c r="J344">
        <v>29.614436000000001</v>
      </c>
      <c r="K344">
        <v>74.285812100000001</v>
      </c>
      <c r="L344">
        <v>182.23043820000001</v>
      </c>
      <c r="M344">
        <f t="shared" si="15"/>
        <v>469.01670969659608</v>
      </c>
      <c r="N344">
        <f t="shared" si="16"/>
        <v>1.6709177813877085E-3</v>
      </c>
      <c r="O344">
        <f t="shared" si="17"/>
        <v>1.7638658446731168E-4</v>
      </c>
    </row>
    <row r="345" spans="1:15" x14ac:dyDescent="0.2">
      <c r="A345">
        <v>344</v>
      </c>
      <c r="B345" t="s">
        <v>2001</v>
      </c>
      <c r="C345" t="s">
        <v>1289</v>
      </c>
      <c r="D345">
        <v>7469</v>
      </c>
      <c r="E345" t="s">
        <v>1224</v>
      </c>
      <c r="F345" t="s">
        <v>1994</v>
      </c>
      <c r="G345" t="s">
        <v>1995</v>
      </c>
      <c r="H345">
        <v>109569</v>
      </c>
      <c r="I345">
        <v>416</v>
      </c>
      <c r="J345">
        <v>26.7454967</v>
      </c>
      <c r="K345">
        <v>77.033048100000002</v>
      </c>
      <c r="L345">
        <v>230.07130430000001</v>
      </c>
      <c r="M345">
        <f t="shared" si="15"/>
        <v>300.08177812331968</v>
      </c>
      <c r="N345">
        <f t="shared" si="16"/>
        <v>-1.3331026878799761E-2</v>
      </c>
      <c r="O345">
        <f t="shared" si="17"/>
        <v>-2.9514636603145274E-4</v>
      </c>
    </row>
    <row r="346" spans="1:15" x14ac:dyDescent="0.2">
      <c r="A346">
        <v>345</v>
      </c>
      <c r="B346" t="s">
        <v>1271</v>
      </c>
      <c r="C346" t="s">
        <v>1271</v>
      </c>
      <c r="D346">
        <v>141</v>
      </c>
      <c r="E346" t="s">
        <v>1224</v>
      </c>
      <c r="F346" t="s">
        <v>1994</v>
      </c>
      <c r="G346" t="s">
        <v>1995</v>
      </c>
      <c r="H346">
        <v>3046163</v>
      </c>
      <c r="I346">
        <v>10</v>
      </c>
      <c r="J346">
        <v>26.9124336</v>
      </c>
      <c r="K346">
        <v>75.787270899999996</v>
      </c>
      <c r="L346">
        <v>432.92782590000002</v>
      </c>
      <c r="M346">
        <f t="shared" si="15"/>
        <v>380.59831294220692</v>
      </c>
      <c r="N346">
        <f t="shared" si="16"/>
        <v>-6.3810189336513917E-2</v>
      </c>
      <c r="O346">
        <f t="shared" si="17"/>
        <v>-2.3584991774298238E-4</v>
      </c>
    </row>
    <row r="347" spans="1:15" x14ac:dyDescent="0.2">
      <c r="A347">
        <v>346</v>
      </c>
      <c r="B347" t="s">
        <v>2002</v>
      </c>
      <c r="C347" t="s">
        <v>2002</v>
      </c>
      <c r="D347">
        <v>1592</v>
      </c>
      <c r="E347" t="s">
        <v>1224</v>
      </c>
      <c r="F347" t="s">
        <v>1994</v>
      </c>
      <c r="G347" t="s">
        <v>1995</v>
      </c>
      <c r="H347">
        <v>100476</v>
      </c>
      <c r="I347">
        <v>462</v>
      </c>
      <c r="J347">
        <v>28.128874700000001</v>
      </c>
      <c r="K347">
        <v>75.399508900000001</v>
      </c>
      <c r="L347">
        <v>340.86337279999998</v>
      </c>
      <c r="M347">
        <f t="shared" si="15"/>
        <v>361.92698016597865</v>
      </c>
      <c r="N347">
        <f t="shared" si="16"/>
        <v>-4.1664771974403603E-2</v>
      </c>
      <c r="O347">
        <f t="shared" si="17"/>
        <v>-2.4761914707510332E-4</v>
      </c>
    </row>
    <row r="348" spans="1:15" x14ac:dyDescent="0.2">
      <c r="A348">
        <v>347</v>
      </c>
      <c r="B348" t="s">
        <v>1286</v>
      </c>
      <c r="C348" t="s">
        <v>1286</v>
      </c>
      <c r="D348">
        <v>291</v>
      </c>
      <c r="E348" t="s">
        <v>1224</v>
      </c>
      <c r="F348" t="s">
        <v>1994</v>
      </c>
      <c r="G348" t="s">
        <v>1995</v>
      </c>
      <c r="H348">
        <v>1137815</v>
      </c>
      <c r="I348">
        <v>37</v>
      </c>
      <c r="J348">
        <v>26.238946899999998</v>
      </c>
      <c r="K348">
        <v>73.024309400000007</v>
      </c>
      <c r="L348">
        <v>220.23608400000001</v>
      </c>
      <c r="M348">
        <f t="shared" si="15"/>
        <v>656.08279857534819</v>
      </c>
      <c r="N348">
        <f t="shared" si="16"/>
        <v>-4.5983162895765588E-3</v>
      </c>
      <c r="O348">
        <f t="shared" si="17"/>
        <v>-1.342841476753461E-4</v>
      </c>
    </row>
    <row r="349" spans="1:15" x14ac:dyDescent="0.2">
      <c r="A349">
        <v>348</v>
      </c>
      <c r="B349" t="s">
        <v>1289</v>
      </c>
      <c r="C349" t="s">
        <v>1289</v>
      </c>
      <c r="D349">
        <v>7464</v>
      </c>
      <c r="E349" t="s">
        <v>1224</v>
      </c>
      <c r="F349" t="s">
        <v>1994</v>
      </c>
      <c r="G349" t="s">
        <v>1995</v>
      </c>
      <c r="H349">
        <v>82960</v>
      </c>
      <c r="I349">
        <v>523</v>
      </c>
      <c r="J349">
        <v>26.488323000000001</v>
      </c>
      <c r="K349">
        <v>77.016143600000007</v>
      </c>
      <c r="L349">
        <v>278.23229980000002</v>
      </c>
      <c r="M349">
        <f t="shared" si="15"/>
        <v>323.43353673004492</v>
      </c>
      <c r="N349">
        <f t="shared" si="16"/>
        <v>-2.725907118085508E-2</v>
      </c>
      <c r="O349">
        <f t="shared" si="17"/>
        <v>-2.7625508075010885E-4</v>
      </c>
    </row>
    <row r="350" spans="1:15" x14ac:dyDescent="0.2">
      <c r="A350">
        <v>349</v>
      </c>
      <c r="B350" t="s">
        <v>2003</v>
      </c>
      <c r="C350" t="s">
        <v>1225</v>
      </c>
      <c r="D350">
        <v>1463</v>
      </c>
      <c r="E350" t="s">
        <v>1224</v>
      </c>
      <c r="F350" t="s">
        <v>1994</v>
      </c>
      <c r="G350" t="s">
        <v>1995</v>
      </c>
      <c r="H350">
        <v>154986</v>
      </c>
      <c r="I350">
        <v>281</v>
      </c>
      <c r="J350">
        <v>26.5870344</v>
      </c>
      <c r="K350">
        <v>74.856397000000001</v>
      </c>
      <c r="L350">
        <v>446.50390629999998</v>
      </c>
      <c r="M350">
        <f t="shared" si="15"/>
        <v>477.88823909726119</v>
      </c>
      <c r="N350">
        <f t="shared" si="16"/>
        <v>-5.3660367324463339E-2</v>
      </c>
      <c r="O350">
        <f t="shared" si="17"/>
        <v>-1.8786101684316797E-4</v>
      </c>
    </row>
    <row r="351" spans="1:15" x14ac:dyDescent="0.2">
      <c r="A351">
        <v>350</v>
      </c>
      <c r="B351" t="s">
        <v>1292</v>
      </c>
      <c r="C351" t="s">
        <v>1292</v>
      </c>
      <c r="D351">
        <v>744</v>
      </c>
      <c r="E351" t="s">
        <v>1224</v>
      </c>
      <c r="F351" t="s">
        <v>1994</v>
      </c>
      <c r="G351" t="s">
        <v>1995</v>
      </c>
      <c r="H351">
        <v>1001365</v>
      </c>
      <c r="I351">
        <v>45</v>
      </c>
      <c r="J351">
        <v>25.2138156</v>
      </c>
      <c r="K351">
        <v>75.864752699999997</v>
      </c>
      <c r="L351">
        <v>259.73474119999997</v>
      </c>
      <c r="M351">
        <f t="shared" si="15"/>
        <v>505.99675874921286</v>
      </c>
      <c r="N351">
        <f t="shared" si="16"/>
        <v>-1.37683528985863E-2</v>
      </c>
      <c r="O351">
        <f t="shared" si="17"/>
        <v>-1.7624152005374019E-4</v>
      </c>
    </row>
    <row r="352" spans="1:15" x14ac:dyDescent="0.2">
      <c r="A352">
        <v>351</v>
      </c>
      <c r="B352" t="s">
        <v>2004</v>
      </c>
      <c r="C352" t="s">
        <v>1295</v>
      </c>
      <c r="D352">
        <v>1588</v>
      </c>
      <c r="E352" t="s">
        <v>1224</v>
      </c>
      <c r="F352" t="s">
        <v>1994</v>
      </c>
      <c r="G352" t="s">
        <v>1995</v>
      </c>
      <c r="H352">
        <v>116295</v>
      </c>
      <c r="I352">
        <v>389</v>
      </c>
      <c r="J352">
        <v>27.028558100000001</v>
      </c>
      <c r="K352">
        <v>74.714620999999994</v>
      </c>
      <c r="L352">
        <v>424.90344240000002</v>
      </c>
      <c r="M352">
        <f t="shared" si="15"/>
        <v>466.55730321096559</v>
      </c>
      <c r="N352">
        <f t="shared" si="16"/>
        <v>-5.0333821587144459E-2</v>
      </c>
      <c r="O352">
        <f t="shared" si="17"/>
        <v>-1.9237941167396964E-4</v>
      </c>
    </row>
    <row r="353" spans="1:15" x14ac:dyDescent="0.2">
      <c r="A353">
        <v>352</v>
      </c>
      <c r="B353" t="s">
        <v>1295</v>
      </c>
      <c r="C353" t="s">
        <v>1295</v>
      </c>
      <c r="D353">
        <v>1582</v>
      </c>
      <c r="E353" t="s">
        <v>1224</v>
      </c>
      <c r="F353" t="s">
        <v>1994</v>
      </c>
      <c r="G353" t="s">
        <v>1995</v>
      </c>
      <c r="H353">
        <v>110797</v>
      </c>
      <c r="I353">
        <v>412</v>
      </c>
      <c r="J353">
        <v>27.199122200000001</v>
      </c>
      <c r="K353">
        <v>73.740924000000007</v>
      </c>
      <c r="L353">
        <v>302.00177000000002</v>
      </c>
      <c r="M353">
        <f t="shared" si="15"/>
        <v>548.04666416946975</v>
      </c>
      <c r="N353">
        <f t="shared" si="16"/>
        <v>-2.0424254998363988E-2</v>
      </c>
      <c r="O353">
        <f t="shared" si="17"/>
        <v>-1.6328562952608062E-4</v>
      </c>
    </row>
    <row r="354" spans="1:15" x14ac:dyDescent="0.2">
      <c r="A354">
        <v>353</v>
      </c>
      <c r="B354" t="s">
        <v>1298</v>
      </c>
      <c r="C354" t="s">
        <v>1298</v>
      </c>
      <c r="D354">
        <v>2932</v>
      </c>
      <c r="E354" t="s">
        <v>1224</v>
      </c>
      <c r="F354" t="s">
        <v>1994</v>
      </c>
      <c r="G354" t="s">
        <v>1995</v>
      </c>
      <c r="H354">
        <v>230075</v>
      </c>
      <c r="I354">
        <v>191</v>
      </c>
      <c r="J354">
        <v>25.7710893</v>
      </c>
      <c r="K354">
        <v>73.323447799999997</v>
      </c>
      <c r="L354">
        <v>217.98944090000001</v>
      </c>
      <c r="M354">
        <f t="shared" si="15"/>
        <v>655.6975860329452</v>
      </c>
      <c r="N354">
        <f t="shared" si="16"/>
        <v>-4.2583836961994047E-3</v>
      </c>
      <c r="O354">
        <f t="shared" si="17"/>
        <v>-1.3413026547429304E-4</v>
      </c>
    </row>
    <row r="355" spans="1:15" x14ac:dyDescent="0.2">
      <c r="A355">
        <v>354</v>
      </c>
      <c r="B355" t="s">
        <v>2005</v>
      </c>
      <c r="C355" t="s">
        <v>1254</v>
      </c>
      <c r="D355">
        <v>1564</v>
      </c>
      <c r="E355" t="s">
        <v>1224</v>
      </c>
      <c r="F355" t="s">
        <v>1994</v>
      </c>
      <c r="G355" t="s">
        <v>1995</v>
      </c>
      <c r="H355">
        <v>95911</v>
      </c>
      <c r="I355">
        <v>485</v>
      </c>
      <c r="J355">
        <v>28.440418999999999</v>
      </c>
      <c r="K355">
        <v>74.493705000000006</v>
      </c>
      <c r="L355">
        <v>252.91783140000001</v>
      </c>
      <c r="M355">
        <f t="shared" si="15"/>
        <v>443.98096993412344</v>
      </c>
      <c r="N355">
        <f t="shared" si="16"/>
        <v>-1.415612691898159E-2</v>
      </c>
      <c r="O355">
        <f t="shared" si="17"/>
        <v>-2.0065827812496313E-4</v>
      </c>
    </row>
    <row r="356" spans="1:15" x14ac:dyDescent="0.2">
      <c r="A356">
        <v>355</v>
      </c>
      <c r="B356" t="s">
        <v>1304</v>
      </c>
      <c r="C356" t="s">
        <v>1304</v>
      </c>
      <c r="D356">
        <v>7462</v>
      </c>
      <c r="E356" t="s">
        <v>1224</v>
      </c>
      <c r="F356" t="s">
        <v>1994</v>
      </c>
      <c r="G356" t="s">
        <v>1995</v>
      </c>
      <c r="H356">
        <v>121106</v>
      </c>
      <c r="I356">
        <v>372</v>
      </c>
      <c r="J356">
        <v>26.037777200000001</v>
      </c>
      <c r="K356">
        <v>76.352151399999997</v>
      </c>
      <c r="L356">
        <v>256.96859740000002</v>
      </c>
      <c r="M356">
        <f t="shared" si="15"/>
        <v>403.96453166612594</v>
      </c>
      <c r="N356">
        <f t="shared" si="16"/>
        <v>-1.6561175636898115E-2</v>
      </c>
      <c r="O356">
        <f t="shared" si="17"/>
        <v>-2.2067195003427697E-4</v>
      </c>
    </row>
    <row r="357" spans="1:15" x14ac:dyDescent="0.2">
      <c r="A357">
        <v>356</v>
      </c>
      <c r="B357" t="s">
        <v>1306</v>
      </c>
      <c r="C357" t="s">
        <v>1306</v>
      </c>
      <c r="D357">
        <v>1572</v>
      </c>
      <c r="E357" t="s">
        <v>1224</v>
      </c>
      <c r="F357" t="s">
        <v>1994</v>
      </c>
      <c r="G357" t="s">
        <v>1995</v>
      </c>
      <c r="H357">
        <v>244497</v>
      </c>
      <c r="I357">
        <v>183</v>
      </c>
      <c r="J357">
        <v>27.609400000000001</v>
      </c>
      <c r="K357">
        <v>75.139910999999998</v>
      </c>
      <c r="L357">
        <v>434.67623900000001</v>
      </c>
      <c r="M357">
        <f t="shared" si="15"/>
        <v>402.66736702759778</v>
      </c>
      <c r="N357">
        <f t="shared" si="16"/>
        <v>-6.0747141991080472E-2</v>
      </c>
      <c r="O357">
        <f t="shared" si="17"/>
        <v>-2.2292784176959122E-4</v>
      </c>
    </row>
    <row r="358" spans="1:15" x14ac:dyDescent="0.2">
      <c r="A358">
        <v>357</v>
      </c>
      <c r="B358" t="s">
        <v>2006</v>
      </c>
      <c r="C358" t="s">
        <v>2006</v>
      </c>
      <c r="D358">
        <v>154</v>
      </c>
      <c r="E358" t="s">
        <v>1224</v>
      </c>
      <c r="F358" t="s">
        <v>1994</v>
      </c>
      <c r="G358" t="s">
        <v>1995</v>
      </c>
      <c r="H358">
        <v>249914</v>
      </c>
      <c r="I358">
        <v>179</v>
      </c>
      <c r="J358">
        <v>29.912527000000001</v>
      </c>
      <c r="K358">
        <v>73.875212000000005</v>
      </c>
      <c r="L358">
        <v>176.42459109999999</v>
      </c>
      <c r="M358">
        <f t="shared" si="15"/>
        <v>514.45453095338087</v>
      </c>
      <c r="N358">
        <f t="shared" si="16"/>
        <v>2.651882698888369E-3</v>
      </c>
      <c r="O358">
        <f t="shared" si="17"/>
        <v>1.6679368631034434E-4</v>
      </c>
    </row>
    <row r="359" spans="1:15" x14ac:dyDescent="0.2">
      <c r="A359">
        <v>358</v>
      </c>
      <c r="B359" t="s">
        <v>2007</v>
      </c>
      <c r="C359" t="s">
        <v>1254</v>
      </c>
      <c r="D359">
        <v>1568</v>
      </c>
      <c r="E359" t="s">
        <v>1224</v>
      </c>
      <c r="F359" t="s">
        <v>1994</v>
      </c>
      <c r="G359" t="s">
        <v>1995</v>
      </c>
      <c r="H359">
        <v>101528</v>
      </c>
      <c r="I359">
        <v>455</v>
      </c>
      <c r="J359">
        <v>27.704475599999999</v>
      </c>
      <c r="K359">
        <v>74.464286099999995</v>
      </c>
      <c r="L359">
        <v>317.90978999999999</v>
      </c>
      <c r="M359">
        <f t="shared" si="15"/>
        <v>462.69481242439923</v>
      </c>
      <c r="N359">
        <f t="shared" si="16"/>
        <v>-2.7629976556283187E-2</v>
      </c>
      <c r="O359">
        <f t="shared" si="17"/>
        <v>-1.9354406377957993E-4</v>
      </c>
    </row>
    <row r="360" spans="1:15" x14ac:dyDescent="0.2">
      <c r="A360">
        <v>359</v>
      </c>
      <c r="B360" t="s">
        <v>1311</v>
      </c>
      <c r="C360" t="s">
        <v>1311</v>
      </c>
      <c r="D360">
        <v>154</v>
      </c>
      <c r="E360" t="s">
        <v>1224</v>
      </c>
      <c r="F360" t="s">
        <v>1994</v>
      </c>
      <c r="G360" t="s">
        <v>1995</v>
      </c>
      <c r="H360">
        <v>165294</v>
      </c>
      <c r="I360">
        <v>264</v>
      </c>
      <c r="J360">
        <v>26.1620402</v>
      </c>
      <c r="K360">
        <v>75.789471599999999</v>
      </c>
      <c r="L360">
        <v>278.86462399999999</v>
      </c>
      <c r="M360">
        <f t="shared" si="15"/>
        <v>432.65306012642583</v>
      </c>
      <c r="N360">
        <f t="shared" si="16"/>
        <v>-2.0523904805862803E-2</v>
      </c>
      <c r="O360">
        <f t="shared" si="17"/>
        <v>-2.0652756946645253E-4</v>
      </c>
    </row>
    <row r="361" spans="1:15" x14ac:dyDescent="0.2">
      <c r="A361">
        <v>360</v>
      </c>
      <c r="B361" t="s">
        <v>1314</v>
      </c>
      <c r="C361" t="s">
        <v>1314</v>
      </c>
      <c r="D361">
        <v>294</v>
      </c>
      <c r="E361" t="s">
        <v>1224</v>
      </c>
      <c r="F361" t="s">
        <v>1994</v>
      </c>
      <c r="G361" t="s">
        <v>1995</v>
      </c>
      <c r="H361">
        <v>474531</v>
      </c>
      <c r="I361">
        <v>96</v>
      </c>
      <c r="J361">
        <v>24.595745000000001</v>
      </c>
      <c r="K361">
        <v>73.694395</v>
      </c>
      <c r="L361">
        <v>581.36700440000004</v>
      </c>
      <c r="M361">
        <f t="shared" si="15"/>
        <v>705.41794628804917</v>
      </c>
      <c r="N361">
        <f t="shared" si="16"/>
        <v>-5.5470616342983906E-2</v>
      </c>
      <c r="O361">
        <f t="shared" si="17"/>
        <v>-1.2737636814916527E-4</v>
      </c>
    </row>
    <row r="362" spans="1:15" x14ac:dyDescent="0.2">
      <c r="A362">
        <v>361</v>
      </c>
      <c r="B362" t="s">
        <v>2008</v>
      </c>
      <c r="C362" t="s">
        <v>2009</v>
      </c>
      <c r="D362">
        <v>3592</v>
      </c>
      <c r="E362" t="s">
        <v>1317</v>
      </c>
      <c r="F362" t="s">
        <v>2010</v>
      </c>
      <c r="G362" t="s">
        <v>2011</v>
      </c>
      <c r="H362">
        <v>98658</v>
      </c>
      <c r="I362">
        <v>470</v>
      </c>
      <c r="J362">
        <v>27.338935599999999</v>
      </c>
      <c r="K362">
        <v>88.606503500000002</v>
      </c>
      <c r="L362">
        <v>1508.0413820000001</v>
      </c>
      <c r="M362">
        <f t="shared" si="15"/>
        <v>953.5964679583127</v>
      </c>
      <c r="N362">
        <f t="shared" si="16"/>
        <v>-0.13821087897083281</v>
      </c>
      <c r="O362">
        <f t="shared" si="17"/>
        <v>-9.4333956149687467E-5</v>
      </c>
    </row>
    <row r="363" spans="1:15" x14ac:dyDescent="0.2">
      <c r="A363">
        <v>362</v>
      </c>
      <c r="B363" t="s">
        <v>2012</v>
      </c>
      <c r="C363" t="s">
        <v>1407</v>
      </c>
      <c r="D363">
        <v>4174</v>
      </c>
      <c r="E363" t="s">
        <v>1329</v>
      </c>
      <c r="F363" t="s">
        <v>2013</v>
      </c>
      <c r="G363" t="s">
        <v>2014</v>
      </c>
      <c r="H363">
        <v>162521</v>
      </c>
      <c r="I363">
        <v>271</v>
      </c>
      <c r="J363">
        <v>12.790361300000001</v>
      </c>
      <c r="K363">
        <v>78.716608399999998</v>
      </c>
      <c r="L363">
        <v>322.82769780000001</v>
      </c>
      <c r="M363">
        <f t="shared" si="15"/>
        <v>1779.2873226025347</v>
      </c>
      <c r="N363">
        <f t="shared" si="16"/>
        <v>-7.4614355036157713E-3</v>
      </c>
      <c r="O363">
        <f t="shared" si="17"/>
        <v>-5.03395006141833E-5</v>
      </c>
    </row>
    <row r="364" spans="1:15" x14ac:dyDescent="0.2">
      <c r="A364">
        <v>363</v>
      </c>
      <c r="B364" t="s">
        <v>1333</v>
      </c>
      <c r="C364" t="s">
        <v>1333</v>
      </c>
      <c r="D364">
        <v>44</v>
      </c>
      <c r="E364" t="s">
        <v>1329</v>
      </c>
      <c r="F364" t="s">
        <v>2013</v>
      </c>
      <c r="G364" t="s">
        <v>2014</v>
      </c>
      <c r="H364">
        <v>8696010</v>
      </c>
      <c r="I364">
        <v>6</v>
      </c>
      <c r="J364">
        <v>13.0826802</v>
      </c>
      <c r="K364">
        <v>80.270718400000007</v>
      </c>
      <c r="L364">
        <v>9.259319305</v>
      </c>
      <c r="M364">
        <f t="shared" si="15"/>
        <v>1751.2391675237959</v>
      </c>
      <c r="N364">
        <f t="shared" si="16"/>
        <v>1.0324575069358318E-2</v>
      </c>
      <c r="O364">
        <f t="shared" si="17"/>
        <v>5.1211232300391801E-5</v>
      </c>
    </row>
    <row r="365" spans="1:15" x14ac:dyDescent="0.2">
      <c r="A365">
        <v>364</v>
      </c>
      <c r="B365" t="s">
        <v>1336</v>
      </c>
      <c r="C365" t="s">
        <v>1336</v>
      </c>
      <c r="D365">
        <v>422</v>
      </c>
      <c r="E365" t="s">
        <v>1329</v>
      </c>
      <c r="F365" t="s">
        <v>2013</v>
      </c>
      <c r="G365" t="s">
        <v>2014</v>
      </c>
      <c r="H365">
        <v>2151466</v>
      </c>
      <c r="I365">
        <v>16</v>
      </c>
      <c r="J365">
        <v>11.016844499999999</v>
      </c>
      <c r="K365">
        <v>76.955832099999995</v>
      </c>
      <c r="L365">
        <v>432.04745480000003</v>
      </c>
      <c r="M365">
        <f t="shared" si="15"/>
        <v>1987.8808497888128</v>
      </c>
      <c r="N365">
        <f t="shared" si="16"/>
        <v>-1.217276845469422E-2</v>
      </c>
      <c r="O365">
        <f t="shared" si="17"/>
        <v>-4.5155232769404118E-5</v>
      </c>
    </row>
    <row r="366" spans="1:15" x14ac:dyDescent="0.2">
      <c r="A366">
        <v>365</v>
      </c>
      <c r="B366" t="s">
        <v>1339</v>
      </c>
      <c r="C366" t="s">
        <v>1339</v>
      </c>
      <c r="D366">
        <v>4142</v>
      </c>
      <c r="E366" t="s">
        <v>1329</v>
      </c>
      <c r="F366" t="s">
        <v>2013</v>
      </c>
      <c r="G366" t="s">
        <v>2014</v>
      </c>
      <c r="H366">
        <v>173636</v>
      </c>
      <c r="I366">
        <v>250</v>
      </c>
      <c r="J366">
        <v>11.744699000000001</v>
      </c>
      <c r="K366">
        <v>79.768024299999993</v>
      </c>
      <c r="L366">
        <v>7.4576368329999996</v>
      </c>
      <c r="M366">
        <f t="shared" si="15"/>
        <v>1896.8413999679435</v>
      </c>
      <c r="N366">
        <f t="shared" si="16"/>
        <v>9.6270402454357064E-3</v>
      </c>
      <c r="O366">
        <f t="shared" si="17"/>
        <v>4.7281887792837133E-5</v>
      </c>
    </row>
    <row r="367" spans="1:15" x14ac:dyDescent="0.2">
      <c r="A367">
        <v>366</v>
      </c>
      <c r="B367" t="s">
        <v>1345</v>
      </c>
      <c r="C367" t="s">
        <v>1345</v>
      </c>
      <c r="D367">
        <v>451</v>
      </c>
      <c r="E367" t="s">
        <v>1329</v>
      </c>
      <c r="F367" t="s">
        <v>2013</v>
      </c>
      <c r="G367" t="s">
        <v>2014</v>
      </c>
      <c r="H367">
        <v>207327</v>
      </c>
      <c r="I367">
        <v>207</v>
      </c>
      <c r="J367">
        <v>10.3673123</v>
      </c>
      <c r="K367">
        <v>77.980290600000004</v>
      </c>
      <c r="L367">
        <v>286.0294495</v>
      </c>
      <c r="M367">
        <f t="shared" si="15"/>
        <v>2051.3188657074875</v>
      </c>
      <c r="N367">
        <f t="shared" si="16"/>
        <v>-4.6780697679053053E-3</v>
      </c>
      <c r="O367">
        <f t="shared" si="17"/>
        <v>-4.3583158388625111E-5</v>
      </c>
    </row>
    <row r="368" spans="1:15" x14ac:dyDescent="0.2">
      <c r="A368">
        <v>367</v>
      </c>
      <c r="B368" t="s">
        <v>1348</v>
      </c>
      <c r="C368" t="s">
        <v>1348</v>
      </c>
      <c r="D368">
        <v>424</v>
      </c>
      <c r="E368" t="s">
        <v>1329</v>
      </c>
      <c r="F368" t="s">
        <v>2013</v>
      </c>
      <c r="G368" t="s">
        <v>2014</v>
      </c>
      <c r="H368">
        <v>521776</v>
      </c>
      <c r="I368">
        <v>85</v>
      </c>
      <c r="J368">
        <v>11.3410364</v>
      </c>
      <c r="K368">
        <v>77.717164199999999</v>
      </c>
      <c r="L368">
        <v>176.69720459999999</v>
      </c>
      <c r="M368">
        <f t="shared" si="15"/>
        <v>1944.9090658824307</v>
      </c>
      <c r="N368">
        <f t="shared" si="16"/>
        <v>6.8744176447826943E-4</v>
      </c>
      <c r="O368">
        <f t="shared" si="17"/>
        <v>4.407537845229406E-5</v>
      </c>
    </row>
    <row r="369" spans="1:15" x14ac:dyDescent="0.2">
      <c r="A369">
        <v>368</v>
      </c>
      <c r="B369" t="s">
        <v>2015</v>
      </c>
      <c r="C369" t="s">
        <v>1407</v>
      </c>
      <c r="D369">
        <v>4171</v>
      </c>
      <c r="E369" t="s">
        <v>1329</v>
      </c>
      <c r="F369" t="s">
        <v>2013</v>
      </c>
      <c r="G369" t="s">
        <v>2014</v>
      </c>
      <c r="H369">
        <v>291558</v>
      </c>
      <c r="I369">
        <v>157</v>
      </c>
      <c r="J369">
        <v>12.9447361</v>
      </c>
      <c r="K369">
        <v>78.870901900000007</v>
      </c>
      <c r="L369">
        <v>278.12780759999998</v>
      </c>
      <c r="M369">
        <f t="shared" si="15"/>
        <v>1761.907613880044</v>
      </c>
      <c r="N369">
        <f t="shared" si="16"/>
        <v>-4.9980194821949049E-3</v>
      </c>
      <c r="O369">
        <f t="shared" si="17"/>
        <v>-5.0711732027841517E-5</v>
      </c>
    </row>
    <row r="370" spans="1:15" x14ac:dyDescent="0.2">
      <c r="A370">
        <v>369</v>
      </c>
      <c r="B370" t="s">
        <v>2016</v>
      </c>
      <c r="C370" t="s">
        <v>2017</v>
      </c>
      <c r="D370">
        <v>4344</v>
      </c>
      <c r="E370" t="s">
        <v>1329</v>
      </c>
      <c r="F370" t="s">
        <v>2013</v>
      </c>
      <c r="G370" t="s">
        <v>2014</v>
      </c>
      <c r="H370">
        <v>116821</v>
      </c>
      <c r="I370">
        <v>387</v>
      </c>
      <c r="J370">
        <v>12.740912700000001</v>
      </c>
      <c r="K370">
        <v>77.825292300000001</v>
      </c>
      <c r="L370">
        <v>867.41174320000005</v>
      </c>
      <c r="M370">
        <f t="shared" si="15"/>
        <v>1788.8127072599129</v>
      </c>
      <c r="N370">
        <f t="shared" si="16"/>
        <v>-3.7865586411086609E-2</v>
      </c>
      <c r="O370">
        <f t="shared" si="17"/>
        <v>-5.0265413956201126E-5</v>
      </c>
    </row>
    <row r="371" spans="1:15" x14ac:dyDescent="0.2">
      <c r="A371">
        <v>370</v>
      </c>
      <c r="B371" t="s">
        <v>2018</v>
      </c>
      <c r="C371" t="s">
        <v>2019</v>
      </c>
      <c r="D371">
        <v>4633</v>
      </c>
      <c r="E371" t="s">
        <v>1329</v>
      </c>
      <c r="F371" t="s">
        <v>2013</v>
      </c>
      <c r="G371" t="s">
        <v>2014</v>
      </c>
      <c r="H371">
        <v>90364</v>
      </c>
      <c r="I371">
        <v>510</v>
      </c>
      <c r="J371">
        <v>9.0778543000000003</v>
      </c>
      <c r="K371">
        <v>77.345186100000006</v>
      </c>
      <c r="L371">
        <v>196.4386902</v>
      </c>
      <c r="M371">
        <f t="shared" si="15"/>
        <v>2198.8271808437557</v>
      </c>
      <c r="N371">
        <f t="shared" si="16"/>
        <v>-2.8976212662402647E-4</v>
      </c>
      <c r="O371">
        <f t="shared" si="17"/>
        <v>-3.6874236428371651E-5</v>
      </c>
    </row>
    <row r="372" spans="1:15" x14ac:dyDescent="0.2">
      <c r="A372">
        <v>371</v>
      </c>
      <c r="B372" t="s">
        <v>2020</v>
      </c>
      <c r="C372" t="s">
        <v>2020</v>
      </c>
      <c r="D372">
        <v>4112</v>
      </c>
      <c r="E372" t="s">
        <v>1329</v>
      </c>
      <c r="F372" t="s">
        <v>2013</v>
      </c>
      <c r="G372" t="s">
        <v>2014</v>
      </c>
      <c r="H372">
        <v>164265</v>
      </c>
      <c r="I372">
        <v>268</v>
      </c>
      <c r="J372">
        <v>12.8341735</v>
      </c>
      <c r="K372">
        <v>79.703640199999995</v>
      </c>
      <c r="L372">
        <v>88.021644589999994</v>
      </c>
      <c r="M372">
        <f t="shared" si="15"/>
        <v>1775.5184591109248</v>
      </c>
      <c r="N372">
        <f t="shared" si="16"/>
        <v>5.7473734889300155E-3</v>
      </c>
      <c r="O372">
        <f t="shared" si="17"/>
        <v>5.0373199794296064E-5</v>
      </c>
    </row>
    <row r="373" spans="1:15" x14ac:dyDescent="0.2">
      <c r="A373">
        <v>372</v>
      </c>
      <c r="B373" t="s">
        <v>2021</v>
      </c>
      <c r="C373" t="s">
        <v>1382</v>
      </c>
      <c r="D373">
        <v>5465</v>
      </c>
      <c r="E373" t="s">
        <v>1329</v>
      </c>
      <c r="F373" t="s">
        <v>2013</v>
      </c>
      <c r="G373" t="s">
        <v>2014</v>
      </c>
      <c r="H373">
        <v>106714</v>
      </c>
      <c r="I373">
        <v>430</v>
      </c>
      <c r="J373">
        <v>10.073131500000001</v>
      </c>
      <c r="K373">
        <v>78.780154400000001</v>
      </c>
      <c r="L373">
        <v>97.066177370000005</v>
      </c>
      <c r="M373">
        <f t="shared" si="15"/>
        <v>2081.2998044026008</v>
      </c>
      <c r="N373">
        <f t="shared" si="16"/>
        <v>4.4684165266951669E-3</v>
      </c>
      <c r="O373">
        <f t="shared" si="17"/>
        <v>4.2946214419900446E-5</v>
      </c>
    </row>
    <row r="374" spans="1:15" x14ac:dyDescent="0.2">
      <c r="A374">
        <v>373</v>
      </c>
      <c r="B374" t="s">
        <v>2022</v>
      </c>
      <c r="C374" t="s">
        <v>1366</v>
      </c>
      <c r="D374">
        <v>4288</v>
      </c>
      <c r="E374" t="s">
        <v>1329</v>
      </c>
      <c r="F374" t="s">
        <v>2013</v>
      </c>
      <c r="G374" t="s">
        <v>2014</v>
      </c>
      <c r="H374">
        <v>171594</v>
      </c>
      <c r="I374">
        <v>254</v>
      </c>
      <c r="J374">
        <v>11.446664200000001</v>
      </c>
      <c r="K374">
        <v>77.694335300000006</v>
      </c>
      <c r="L374">
        <v>169.83538820000001</v>
      </c>
      <c r="M374">
        <f t="shared" si="15"/>
        <v>1933.3579768868308</v>
      </c>
      <c r="N374">
        <f t="shared" si="16"/>
        <v>1.0464659851859533E-3</v>
      </c>
      <c r="O374">
        <f t="shared" si="17"/>
        <v>4.5087539939817558E-5</v>
      </c>
    </row>
    <row r="375" spans="1:15" x14ac:dyDescent="0.2">
      <c r="A375">
        <v>374</v>
      </c>
      <c r="B375" t="s">
        <v>2023</v>
      </c>
      <c r="C375" t="s">
        <v>1396</v>
      </c>
      <c r="D375">
        <v>4632</v>
      </c>
      <c r="E375" t="s">
        <v>1329</v>
      </c>
      <c r="F375" t="s">
        <v>2013</v>
      </c>
      <c r="G375" t="s">
        <v>2014</v>
      </c>
      <c r="H375">
        <v>95057</v>
      </c>
      <c r="I375">
        <v>493</v>
      </c>
      <c r="J375">
        <v>9.1674144000000002</v>
      </c>
      <c r="K375">
        <v>77.876744200000005</v>
      </c>
      <c r="L375">
        <v>110.0148926</v>
      </c>
      <c r="M375">
        <f t="shared" si="15"/>
        <v>2185.148148768777</v>
      </c>
      <c r="N375">
        <f t="shared" si="16"/>
        <v>3.663478343338212E-3</v>
      </c>
      <c r="O375">
        <f t="shared" si="17"/>
        <v>4.0859613612378793E-5</v>
      </c>
    </row>
    <row r="376" spans="1:15" x14ac:dyDescent="0.2">
      <c r="A376">
        <v>375</v>
      </c>
      <c r="B376" t="s">
        <v>2024</v>
      </c>
      <c r="C376" t="s">
        <v>1385</v>
      </c>
      <c r="D376">
        <v>435</v>
      </c>
      <c r="E376" t="s">
        <v>1329</v>
      </c>
      <c r="F376" t="s">
        <v>2013</v>
      </c>
      <c r="G376" t="s">
        <v>2014</v>
      </c>
      <c r="H376">
        <v>140156</v>
      </c>
      <c r="I376">
        <v>325</v>
      </c>
      <c r="J376">
        <v>10.9616945</v>
      </c>
      <c r="K376">
        <v>79.388113200000006</v>
      </c>
      <c r="L376">
        <v>30.364664080000001</v>
      </c>
      <c r="M376">
        <f t="shared" si="15"/>
        <v>1982.6993719286447</v>
      </c>
      <c r="N376">
        <f t="shared" si="16"/>
        <v>8.0548095178267654E-3</v>
      </c>
      <c r="O376">
        <f t="shared" si="17"/>
        <v>4.5211715205167623E-5</v>
      </c>
    </row>
    <row r="377" spans="1:15" x14ac:dyDescent="0.2">
      <c r="A377">
        <v>376</v>
      </c>
      <c r="B377" t="s">
        <v>1360</v>
      </c>
      <c r="C377" t="s">
        <v>1360</v>
      </c>
      <c r="D377">
        <v>452</v>
      </c>
      <c r="E377" t="s">
        <v>1329</v>
      </c>
      <c r="F377" t="s">
        <v>2013</v>
      </c>
      <c r="G377" t="s">
        <v>2014</v>
      </c>
      <c r="H377">
        <v>1462420</v>
      </c>
      <c r="I377">
        <v>25</v>
      </c>
      <c r="J377">
        <v>9.9252006999999995</v>
      </c>
      <c r="K377">
        <v>78.119775399999995</v>
      </c>
      <c r="L377">
        <v>138.68516539999999</v>
      </c>
      <c r="M377">
        <f t="shared" si="15"/>
        <v>2099.7143277498931</v>
      </c>
      <c r="N377">
        <f t="shared" si="16"/>
        <v>2.4471022424780247E-3</v>
      </c>
      <c r="O377">
        <f t="shared" si="17"/>
        <v>4.233197278007604E-5</v>
      </c>
    </row>
    <row r="378" spans="1:15" x14ac:dyDescent="0.2">
      <c r="A378">
        <v>377</v>
      </c>
      <c r="B378" t="s">
        <v>1363</v>
      </c>
      <c r="C378" t="s">
        <v>1363</v>
      </c>
      <c r="D378">
        <v>4365</v>
      </c>
      <c r="E378" t="s">
        <v>1329</v>
      </c>
      <c r="F378" t="s">
        <v>2013</v>
      </c>
      <c r="G378" t="s">
        <v>2014</v>
      </c>
      <c r="H378">
        <v>102905</v>
      </c>
      <c r="I378">
        <v>447</v>
      </c>
      <c r="J378">
        <v>10.765608200000001</v>
      </c>
      <c r="K378">
        <v>79.842388799999995</v>
      </c>
      <c r="L378">
        <v>8.9482641219999994</v>
      </c>
      <c r="M378">
        <f t="shared" si="15"/>
        <v>2005.9469721878356</v>
      </c>
      <c r="N378">
        <f t="shared" si="16"/>
        <v>9.0291049658435384E-3</v>
      </c>
      <c r="O378">
        <f t="shared" si="17"/>
        <v>4.470888875587113E-5</v>
      </c>
    </row>
    <row r="379" spans="1:15" x14ac:dyDescent="0.2">
      <c r="A379">
        <v>378</v>
      </c>
      <c r="B379" t="s">
        <v>2025</v>
      </c>
      <c r="C379" t="s">
        <v>2026</v>
      </c>
      <c r="D379">
        <v>4652</v>
      </c>
      <c r="E379" t="s">
        <v>1329</v>
      </c>
      <c r="F379" t="s">
        <v>2013</v>
      </c>
      <c r="G379" t="s">
        <v>2014</v>
      </c>
      <c r="H379">
        <v>224849</v>
      </c>
      <c r="I379">
        <v>195</v>
      </c>
      <c r="J379">
        <v>8.1832857000000008</v>
      </c>
      <c r="K379">
        <v>77.411899599999998</v>
      </c>
      <c r="L379">
        <v>62.273494720000002</v>
      </c>
      <c r="M379">
        <f t="shared" si="15"/>
        <v>2297.4994708682825</v>
      </c>
      <c r="N379">
        <f t="shared" si="16"/>
        <v>5.5623006098758105E-3</v>
      </c>
      <c r="O379">
        <f t="shared" si="17"/>
        <v>3.8977882191987474E-5</v>
      </c>
    </row>
    <row r="380" spans="1:15" x14ac:dyDescent="0.2">
      <c r="A380">
        <v>379</v>
      </c>
      <c r="B380" t="s">
        <v>2027</v>
      </c>
      <c r="C380" t="s">
        <v>1339</v>
      </c>
      <c r="D380">
        <v>4142</v>
      </c>
      <c r="E380" t="s">
        <v>1329</v>
      </c>
      <c r="F380" t="s">
        <v>2013</v>
      </c>
      <c r="G380" t="s">
        <v>2014</v>
      </c>
      <c r="H380">
        <v>105687</v>
      </c>
      <c r="I380">
        <v>434</v>
      </c>
      <c r="J380">
        <v>11.5432364</v>
      </c>
      <c r="K380">
        <v>79.476013300000005</v>
      </c>
      <c r="L380">
        <v>38.981678010000003</v>
      </c>
      <c r="M380">
        <f t="shared" si="15"/>
        <v>1918.2469434015582</v>
      </c>
      <c r="N380">
        <f t="shared" si="16"/>
        <v>7.8762353465339184E-3</v>
      </c>
      <c r="O380">
        <f t="shared" si="17"/>
        <v>4.672014658306347E-5</v>
      </c>
    </row>
    <row r="381" spans="1:15" x14ac:dyDescent="0.2">
      <c r="A381">
        <v>380</v>
      </c>
      <c r="B381" t="s">
        <v>2028</v>
      </c>
      <c r="C381" t="s">
        <v>2029</v>
      </c>
      <c r="D381">
        <v>423</v>
      </c>
      <c r="E381" t="s">
        <v>1329</v>
      </c>
      <c r="F381" t="s">
        <v>2013</v>
      </c>
      <c r="G381" t="s">
        <v>2014</v>
      </c>
      <c r="H381">
        <v>88430</v>
      </c>
      <c r="I381">
        <v>515</v>
      </c>
      <c r="J381">
        <v>11.406413799999999</v>
      </c>
      <c r="K381">
        <v>76.693243800000005</v>
      </c>
      <c r="L381">
        <v>2247.5078130000002</v>
      </c>
      <c r="M381">
        <f t="shared" si="15"/>
        <v>1948.0004365395457</v>
      </c>
      <c r="N381">
        <f t="shared" si="16"/>
        <v>-0.10561807136218436</v>
      </c>
      <c r="O381">
        <f t="shared" si="17"/>
        <v>-4.6186925951685296E-5</v>
      </c>
    </row>
    <row r="382" spans="1:15" x14ac:dyDescent="0.2">
      <c r="A382">
        <v>381</v>
      </c>
      <c r="B382" t="s">
        <v>2030</v>
      </c>
      <c r="C382" t="s">
        <v>1377</v>
      </c>
      <c r="D382">
        <v>4564</v>
      </c>
      <c r="E382" t="s">
        <v>1329</v>
      </c>
      <c r="F382" t="s">
        <v>2013</v>
      </c>
      <c r="G382" t="s">
        <v>2014</v>
      </c>
      <c r="H382">
        <v>95579</v>
      </c>
      <c r="I382">
        <v>486</v>
      </c>
      <c r="J382">
        <v>9.5483948999999999</v>
      </c>
      <c r="K382">
        <v>78.5916335</v>
      </c>
      <c r="L382">
        <v>43.284080510000003</v>
      </c>
      <c r="M382">
        <f t="shared" si="15"/>
        <v>2139.969269150562</v>
      </c>
      <c r="N382">
        <f t="shared" si="16"/>
        <v>6.8591284653477308E-3</v>
      </c>
      <c r="O382">
        <f t="shared" si="17"/>
        <v>4.1874275740109449E-5</v>
      </c>
    </row>
    <row r="383" spans="1:15" x14ac:dyDescent="0.2">
      <c r="A383">
        <v>382</v>
      </c>
      <c r="B383" t="s">
        <v>2031</v>
      </c>
      <c r="C383" t="s">
        <v>1336</v>
      </c>
      <c r="D383">
        <v>4259</v>
      </c>
      <c r="E383" t="s">
        <v>1329</v>
      </c>
      <c r="F383" t="s">
        <v>2013</v>
      </c>
      <c r="G383" t="s">
        <v>2014</v>
      </c>
      <c r="H383">
        <v>90180</v>
      </c>
      <c r="I383">
        <v>512</v>
      </c>
      <c r="J383">
        <v>10.657273699999999</v>
      </c>
      <c r="K383">
        <v>77.010669300000004</v>
      </c>
      <c r="L383">
        <v>287.6619263</v>
      </c>
      <c r="M383">
        <f t="shared" si="15"/>
        <v>2027.056365956008</v>
      </c>
      <c r="N383">
        <f t="shared" si="16"/>
        <v>-4.8145974694676075E-3</v>
      </c>
      <c r="O383">
        <f t="shared" si="17"/>
        <v>-4.410974587100633E-5</v>
      </c>
    </row>
    <row r="384" spans="1:15" x14ac:dyDescent="0.2">
      <c r="A384">
        <v>383</v>
      </c>
      <c r="B384" t="s">
        <v>1374</v>
      </c>
      <c r="C384" t="s">
        <v>1374</v>
      </c>
      <c r="D384">
        <v>4322</v>
      </c>
      <c r="E384" t="s">
        <v>1329</v>
      </c>
      <c r="F384" t="s">
        <v>2013</v>
      </c>
      <c r="G384" t="s">
        <v>2014</v>
      </c>
      <c r="H384">
        <v>143745</v>
      </c>
      <c r="I384">
        <v>312</v>
      </c>
      <c r="J384">
        <v>10.379663000000001</v>
      </c>
      <c r="K384">
        <v>78.820845399999996</v>
      </c>
      <c r="L384">
        <v>100.0845032</v>
      </c>
      <c r="M384">
        <f t="shared" si="15"/>
        <v>2047.1690344067292</v>
      </c>
      <c r="N384">
        <f t="shared" si="16"/>
        <v>4.3954757564060691E-3</v>
      </c>
      <c r="O384">
        <f t="shared" si="17"/>
        <v>4.3652128075585309E-5</v>
      </c>
    </row>
    <row r="385" spans="1:15" x14ac:dyDescent="0.2">
      <c r="A385">
        <v>384</v>
      </c>
      <c r="B385" t="s">
        <v>2032</v>
      </c>
      <c r="C385" t="s">
        <v>1412</v>
      </c>
      <c r="D385">
        <v>4563</v>
      </c>
      <c r="E385" t="s">
        <v>1329</v>
      </c>
      <c r="F385" t="s">
        <v>2013</v>
      </c>
      <c r="G385" t="s">
        <v>2014</v>
      </c>
      <c r="H385">
        <v>130442</v>
      </c>
      <c r="I385">
        <v>349</v>
      </c>
      <c r="J385">
        <v>9.4515589999999996</v>
      </c>
      <c r="K385">
        <v>77.554355000000001</v>
      </c>
      <c r="L385">
        <v>165.88529969999999</v>
      </c>
      <c r="M385">
        <f t="shared" si="15"/>
        <v>2155.7308536088149</v>
      </c>
      <c r="N385">
        <f t="shared" si="16"/>
        <v>1.1217551606462347E-3</v>
      </c>
      <c r="O385">
        <f t="shared" si="17"/>
        <v>4.0650712355185431E-5</v>
      </c>
    </row>
    <row r="386" spans="1:15" x14ac:dyDescent="0.2">
      <c r="A386">
        <v>385</v>
      </c>
      <c r="B386" t="s">
        <v>1380</v>
      </c>
      <c r="C386" t="s">
        <v>1380</v>
      </c>
      <c r="D386">
        <v>427</v>
      </c>
      <c r="E386" t="s">
        <v>1329</v>
      </c>
      <c r="F386" t="s">
        <v>2013</v>
      </c>
      <c r="G386" t="s">
        <v>2014</v>
      </c>
      <c r="H386">
        <v>919150</v>
      </c>
      <c r="I386">
        <v>52</v>
      </c>
      <c r="J386">
        <v>11.664325</v>
      </c>
      <c r="K386">
        <v>78.146014199999996</v>
      </c>
      <c r="L386">
        <v>285.118042</v>
      </c>
      <c r="M386">
        <f t="shared" si="15"/>
        <v>1906.3946028865209</v>
      </c>
      <c r="N386">
        <f t="shared" si="16"/>
        <v>-4.9858890733367198E-3</v>
      </c>
      <c r="O386">
        <f t="shared" si="17"/>
        <v>-4.6893350654254459E-5</v>
      </c>
    </row>
    <row r="387" spans="1:15" x14ac:dyDescent="0.2">
      <c r="A387">
        <v>386</v>
      </c>
      <c r="B387" t="s">
        <v>1385</v>
      </c>
      <c r="C387" t="s">
        <v>1385</v>
      </c>
      <c r="D387">
        <v>4362</v>
      </c>
      <c r="E387" t="s">
        <v>1329</v>
      </c>
      <c r="F387" t="s">
        <v>2013</v>
      </c>
      <c r="G387" t="s">
        <v>2014</v>
      </c>
      <c r="H387">
        <v>222943</v>
      </c>
      <c r="I387">
        <v>196</v>
      </c>
      <c r="J387">
        <v>10.786999399999999</v>
      </c>
      <c r="K387">
        <v>79.137827400000006</v>
      </c>
      <c r="L387">
        <v>58</v>
      </c>
      <c r="M387">
        <f t="shared" ref="M387:M450" si="18">2*6371*ASIN(SQRT(
    SIN(RADIANS(J387-$V$6)/2)^2 +
    COS(RADIANS($V$6)) * COS(RADIANS(J387)) *
    SIN(RADIANS(K387-$V$7)/2)^2
))</f>
        <v>2001.7993896758696</v>
      </c>
      <c r="N387">
        <f t="shared" ref="N387:N450" si="19">($V$5-L387)/(M387*1000)*100</f>
        <v>6.5974304159111706E-3</v>
      </c>
      <c r="O387">
        <f t="shared" ref="O387:O450" si="20">DEGREES(ATAN($V$5-L387)/(M387*1000))</f>
        <v>4.4742830415589509E-5</v>
      </c>
    </row>
    <row r="388" spans="1:15" x14ac:dyDescent="0.2">
      <c r="A388">
        <v>387</v>
      </c>
      <c r="B388" t="s">
        <v>2033</v>
      </c>
      <c r="C388" t="s">
        <v>1387</v>
      </c>
      <c r="D388">
        <v>4546</v>
      </c>
      <c r="E388" t="s">
        <v>1329</v>
      </c>
      <c r="F388" t="s">
        <v>2013</v>
      </c>
      <c r="G388" t="s">
        <v>2014</v>
      </c>
      <c r="H388">
        <v>94453</v>
      </c>
      <c r="I388">
        <v>496</v>
      </c>
      <c r="J388">
        <v>10.010262000000001</v>
      </c>
      <c r="K388">
        <v>77.476819000000006</v>
      </c>
      <c r="L388">
        <v>298.3984375</v>
      </c>
      <c r="M388">
        <f t="shared" si="18"/>
        <v>2094.359933943912</v>
      </c>
      <c r="N388">
        <f t="shared" si="19"/>
        <v>-5.1725166216296213E-3</v>
      </c>
      <c r="O388">
        <f t="shared" si="20"/>
        <v>-4.2720030414220795E-5</v>
      </c>
    </row>
    <row r="389" spans="1:15" x14ac:dyDescent="0.2">
      <c r="A389">
        <v>388</v>
      </c>
      <c r="B389" t="s">
        <v>2034</v>
      </c>
      <c r="C389" t="s">
        <v>1366</v>
      </c>
      <c r="D389">
        <v>4288</v>
      </c>
      <c r="E389" t="s">
        <v>1329</v>
      </c>
      <c r="F389" t="s">
        <v>2013</v>
      </c>
      <c r="G389" t="s">
        <v>2014</v>
      </c>
      <c r="H389">
        <v>95335</v>
      </c>
      <c r="I389">
        <v>488</v>
      </c>
      <c r="J389">
        <v>11.378665</v>
      </c>
      <c r="K389">
        <v>77.894975000000002</v>
      </c>
      <c r="L389">
        <v>250.0773926</v>
      </c>
      <c r="M389">
        <f t="shared" si="18"/>
        <v>1939.5291092770815</v>
      </c>
      <c r="N389">
        <f t="shared" si="19"/>
        <v>-3.0940536294589301E-3</v>
      </c>
      <c r="O389">
        <f t="shared" si="20"/>
        <v>-4.5910792743752125E-5</v>
      </c>
    </row>
    <row r="390" spans="1:15" x14ac:dyDescent="0.2">
      <c r="A390">
        <v>389</v>
      </c>
      <c r="B390" t="s">
        <v>2035</v>
      </c>
      <c r="C390" t="s">
        <v>2035</v>
      </c>
      <c r="D390">
        <v>431</v>
      </c>
      <c r="E390" t="s">
        <v>1329</v>
      </c>
      <c r="F390" t="s">
        <v>2013</v>
      </c>
      <c r="G390" t="s">
        <v>2014</v>
      </c>
      <c r="H390">
        <v>1021717</v>
      </c>
      <c r="I390">
        <v>43</v>
      </c>
      <c r="J390">
        <v>10.7904833</v>
      </c>
      <c r="K390">
        <v>78.704672500000001</v>
      </c>
      <c r="L390">
        <v>81.212432860000007</v>
      </c>
      <c r="M390">
        <f t="shared" si="18"/>
        <v>2001.6548633612265</v>
      </c>
      <c r="N390">
        <f t="shared" si="19"/>
        <v>5.4382446710722291E-3</v>
      </c>
      <c r="O390">
        <f t="shared" si="20"/>
        <v>4.4699846293969677E-5</v>
      </c>
    </row>
    <row r="391" spans="1:15" x14ac:dyDescent="0.2">
      <c r="A391">
        <v>390</v>
      </c>
      <c r="B391" t="s">
        <v>2019</v>
      </c>
      <c r="C391" t="s">
        <v>2019</v>
      </c>
      <c r="D391">
        <v>462</v>
      </c>
      <c r="E391" t="s">
        <v>1329</v>
      </c>
      <c r="F391" t="s">
        <v>2013</v>
      </c>
      <c r="G391" t="s">
        <v>2014</v>
      </c>
      <c r="H391">
        <v>498984</v>
      </c>
      <c r="I391">
        <v>91</v>
      </c>
      <c r="J391">
        <v>8.7139126000000005</v>
      </c>
      <c r="K391">
        <v>77.756652299999999</v>
      </c>
      <c r="L391">
        <v>53.77753448</v>
      </c>
      <c r="M391">
        <f t="shared" si="18"/>
        <v>2236.2174688284945</v>
      </c>
      <c r="N391">
        <f t="shared" si="19"/>
        <v>6.0946571261425329E-3</v>
      </c>
      <c r="O391">
        <f t="shared" si="20"/>
        <v>4.005854174423842E-5</v>
      </c>
    </row>
    <row r="392" spans="1:15" x14ac:dyDescent="0.2">
      <c r="A392">
        <v>391</v>
      </c>
      <c r="B392" t="s">
        <v>2036</v>
      </c>
      <c r="C392" t="s">
        <v>2037</v>
      </c>
      <c r="D392">
        <v>421</v>
      </c>
      <c r="E392" t="s">
        <v>1329</v>
      </c>
      <c r="F392" t="s">
        <v>2013</v>
      </c>
      <c r="G392" t="s">
        <v>2014</v>
      </c>
      <c r="H392">
        <v>962982</v>
      </c>
      <c r="I392">
        <v>48</v>
      </c>
      <c r="J392">
        <v>11.1085242</v>
      </c>
      <c r="K392">
        <v>77.341065599999993</v>
      </c>
      <c r="L392">
        <v>307.00353999999999</v>
      </c>
      <c r="M392">
        <f t="shared" si="18"/>
        <v>1973.7883481825977</v>
      </c>
      <c r="N392">
        <f t="shared" si="19"/>
        <v>-5.924455796269705E-3</v>
      </c>
      <c r="O392">
        <f t="shared" si="20"/>
        <v>-4.5349359470221441E-5</v>
      </c>
    </row>
    <row r="393" spans="1:15" x14ac:dyDescent="0.2">
      <c r="A393">
        <v>392</v>
      </c>
      <c r="B393" t="s">
        <v>1404</v>
      </c>
      <c r="C393" t="s">
        <v>1404</v>
      </c>
      <c r="D393">
        <v>4175</v>
      </c>
      <c r="E393" t="s">
        <v>1329</v>
      </c>
      <c r="F393" t="s">
        <v>2013</v>
      </c>
      <c r="G393" t="s">
        <v>2014</v>
      </c>
      <c r="H393">
        <v>145278</v>
      </c>
      <c r="I393">
        <v>307</v>
      </c>
      <c r="J393">
        <v>12.2252841</v>
      </c>
      <c r="K393">
        <v>79.074695700000007</v>
      </c>
      <c r="L393">
        <v>173.3144226</v>
      </c>
      <c r="M393">
        <f t="shared" si="18"/>
        <v>1841.8422028462217</v>
      </c>
      <c r="N393">
        <f t="shared" si="19"/>
        <v>9.0957299024376458E-4</v>
      </c>
      <c r="O393">
        <f t="shared" si="20"/>
        <v>4.7009456910777907E-5</v>
      </c>
    </row>
    <row r="394" spans="1:15" x14ac:dyDescent="0.2">
      <c r="A394">
        <v>393</v>
      </c>
      <c r="B394" t="s">
        <v>2038</v>
      </c>
      <c r="C394" t="s">
        <v>2039</v>
      </c>
      <c r="D394">
        <v>461</v>
      </c>
      <c r="E394" t="s">
        <v>1329</v>
      </c>
      <c r="F394" t="s">
        <v>2013</v>
      </c>
      <c r="G394" t="s">
        <v>2014</v>
      </c>
      <c r="H394">
        <v>410760</v>
      </c>
      <c r="I394">
        <v>108</v>
      </c>
      <c r="J394">
        <v>8.7641661000000006</v>
      </c>
      <c r="K394">
        <v>78.134836100000001</v>
      </c>
      <c r="L394">
        <v>1.9238446950000001</v>
      </c>
      <c r="M394">
        <f t="shared" si="18"/>
        <v>2228.6375874385831</v>
      </c>
      <c r="N394">
        <f t="shared" si="19"/>
        <v>8.4420848937236583E-3</v>
      </c>
      <c r="O394">
        <f t="shared" si="20"/>
        <v>4.0246772737025796E-5</v>
      </c>
    </row>
    <row r="395" spans="1:15" x14ac:dyDescent="0.2">
      <c r="A395">
        <v>394</v>
      </c>
      <c r="B395" t="s">
        <v>2040</v>
      </c>
      <c r="C395" t="s">
        <v>1407</v>
      </c>
      <c r="D395">
        <v>4174</v>
      </c>
      <c r="E395" t="s">
        <v>1329</v>
      </c>
      <c r="F395" t="s">
        <v>2013</v>
      </c>
      <c r="G395" t="s">
        <v>2014</v>
      </c>
      <c r="H395">
        <v>195061</v>
      </c>
      <c r="I395">
        <v>224</v>
      </c>
      <c r="J395">
        <v>12.6950325</v>
      </c>
      <c r="K395">
        <v>78.621885300000002</v>
      </c>
      <c r="L395">
        <v>348.27929690000002</v>
      </c>
      <c r="M395">
        <f t="shared" si="18"/>
        <v>1790.0874834836327</v>
      </c>
      <c r="N395">
        <f t="shared" si="19"/>
        <v>-8.8382258721852337E-3</v>
      </c>
      <c r="O395">
        <f t="shared" si="20"/>
        <v>-5.0074568976955451E-5</v>
      </c>
    </row>
    <row r="396" spans="1:15" x14ac:dyDescent="0.2">
      <c r="A396">
        <v>395</v>
      </c>
      <c r="B396" t="s">
        <v>1407</v>
      </c>
      <c r="C396" t="s">
        <v>1407</v>
      </c>
      <c r="D396">
        <v>416</v>
      </c>
      <c r="E396" t="s">
        <v>1329</v>
      </c>
      <c r="F396" t="s">
        <v>2013</v>
      </c>
      <c r="G396" t="s">
        <v>2014</v>
      </c>
      <c r="H396">
        <v>481966</v>
      </c>
      <c r="I396">
        <v>94</v>
      </c>
      <c r="J396">
        <v>12.916516700000001</v>
      </c>
      <c r="K396">
        <v>79.132498600000005</v>
      </c>
      <c r="L396">
        <v>218.14657589999999</v>
      </c>
      <c r="M396">
        <f t="shared" si="18"/>
        <v>1765.0084842728309</v>
      </c>
      <c r="N396">
        <f t="shared" si="19"/>
        <v>-1.5908849362595791E-3</v>
      </c>
      <c r="O396">
        <f t="shared" si="20"/>
        <v>-4.9835658359057354E-5</v>
      </c>
    </row>
    <row r="397" spans="1:15" x14ac:dyDescent="0.2">
      <c r="A397">
        <v>396</v>
      </c>
      <c r="B397" t="s">
        <v>2041</v>
      </c>
      <c r="C397" t="s">
        <v>2041</v>
      </c>
      <c r="D397">
        <v>4146</v>
      </c>
      <c r="E397" t="s">
        <v>1329</v>
      </c>
      <c r="F397" t="s">
        <v>2013</v>
      </c>
      <c r="G397" t="s">
        <v>2014</v>
      </c>
      <c r="H397">
        <v>96253</v>
      </c>
      <c r="I397">
        <v>483</v>
      </c>
      <c r="J397">
        <v>11.9368897</v>
      </c>
      <c r="K397">
        <v>79.487261899999993</v>
      </c>
      <c r="L397">
        <v>49.61007309</v>
      </c>
      <c r="M397">
        <f t="shared" si="18"/>
        <v>1874.5162862231975</v>
      </c>
      <c r="N397">
        <f t="shared" si="19"/>
        <v>7.492986310244084E-3</v>
      </c>
      <c r="O397">
        <f t="shared" si="20"/>
        <v>4.7794774729585894E-5</v>
      </c>
    </row>
    <row r="398" spans="1:15" x14ac:dyDescent="0.2">
      <c r="A398">
        <v>397</v>
      </c>
      <c r="B398" t="s">
        <v>12</v>
      </c>
      <c r="C398" t="s">
        <v>12</v>
      </c>
      <c r="D398">
        <v>8732</v>
      </c>
      <c r="E398" t="s">
        <v>2042</v>
      </c>
      <c r="F398" t="s">
        <v>2043</v>
      </c>
      <c r="G398" t="s">
        <v>2044</v>
      </c>
      <c r="H398">
        <v>117167</v>
      </c>
      <c r="I398">
        <v>384</v>
      </c>
      <c r="J398">
        <v>19.676527</v>
      </c>
      <c r="K398">
        <v>78.532194000000004</v>
      </c>
      <c r="L398">
        <v>250.7736664</v>
      </c>
      <c r="M398">
        <f t="shared" si="18"/>
        <v>1014.5214869863902</v>
      </c>
      <c r="N398">
        <f t="shared" si="19"/>
        <v>-5.9837416337357842E-3</v>
      </c>
      <c r="O398">
        <f t="shared" si="20"/>
        <v>-8.7781548107828905E-5</v>
      </c>
    </row>
    <row r="399" spans="1:15" x14ac:dyDescent="0.2">
      <c r="A399">
        <v>398</v>
      </c>
      <c r="B399" t="s">
        <v>28</v>
      </c>
      <c r="C399" t="s">
        <v>28</v>
      </c>
      <c r="D399">
        <v>40</v>
      </c>
      <c r="E399" t="s">
        <v>2042</v>
      </c>
      <c r="F399" t="s">
        <v>2043</v>
      </c>
      <c r="G399" t="s">
        <v>2044</v>
      </c>
      <c r="H399">
        <v>8746490</v>
      </c>
      <c r="I399">
        <v>4</v>
      </c>
      <c r="J399">
        <v>17.384934000000001</v>
      </c>
      <c r="K399">
        <v>78.486615999999998</v>
      </c>
      <c r="L399">
        <v>504.79394530000002</v>
      </c>
      <c r="M399">
        <f t="shared" si="18"/>
        <v>1269.2970136890426</v>
      </c>
      <c r="N399">
        <f t="shared" si="19"/>
        <v>-2.4795348929821326E-2</v>
      </c>
      <c r="O399">
        <f t="shared" si="20"/>
        <v>-7.0761965313658647E-5</v>
      </c>
    </row>
    <row r="400" spans="1:15" x14ac:dyDescent="0.2">
      <c r="A400">
        <v>399</v>
      </c>
      <c r="B400" t="s">
        <v>2045</v>
      </c>
      <c r="C400" t="s">
        <v>31</v>
      </c>
      <c r="D400">
        <v>8724</v>
      </c>
      <c r="E400" t="s">
        <v>2042</v>
      </c>
      <c r="F400" t="s">
        <v>2043</v>
      </c>
      <c r="G400" t="s">
        <v>2044</v>
      </c>
      <c r="H400">
        <v>96470</v>
      </c>
      <c r="I400">
        <v>482</v>
      </c>
      <c r="J400">
        <v>18.788321</v>
      </c>
      <c r="K400">
        <v>78.913899000000001</v>
      </c>
      <c r="L400">
        <v>291.21954349999999</v>
      </c>
      <c r="M400">
        <f t="shared" si="18"/>
        <v>1112.115754527546</v>
      </c>
      <c r="N400">
        <f t="shared" si="19"/>
        <v>-9.0954760139129506E-3</v>
      </c>
      <c r="O400">
        <f t="shared" si="20"/>
        <v>-8.0417516645035875E-5</v>
      </c>
    </row>
    <row r="401" spans="1:15" x14ac:dyDescent="0.2">
      <c r="A401">
        <v>400</v>
      </c>
      <c r="B401" t="s">
        <v>31</v>
      </c>
      <c r="C401" t="s">
        <v>31</v>
      </c>
      <c r="D401">
        <v>878</v>
      </c>
      <c r="E401" t="s">
        <v>2042</v>
      </c>
      <c r="F401" t="s">
        <v>2043</v>
      </c>
      <c r="G401" t="s">
        <v>2044</v>
      </c>
      <c r="H401">
        <v>261185</v>
      </c>
      <c r="I401">
        <v>172</v>
      </c>
      <c r="J401">
        <v>18.438485</v>
      </c>
      <c r="K401">
        <v>79.128930999999994</v>
      </c>
      <c r="L401">
        <v>279.13320920000001</v>
      </c>
      <c r="M401">
        <f t="shared" si="18"/>
        <v>1151.0071154325922</v>
      </c>
      <c r="N401">
        <f t="shared" si="19"/>
        <v>-7.7380831278810701E-3</v>
      </c>
      <c r="O401">
        <f t="shared" si="20"/>
        <v>-7.7633517000176889E-5</v>
      </c>
    </row>
    <row r="402" spans="1:15" x14ac:dyDescent="0.2">
      <c r="A402">
        <v>401</v>
      </c>
      <c r="B402" t="s">
        <v>34</v>
      </c>
      <c r="C402" t="s">
        <v>34</v>
      </c>
      <c r="D402">
        <v>8742</v>
      </c>
      <c r="E402" t="s">
        <v>2042</v>
      </c>
      <c r="F402" t="s">
        <v>2043</v>
      </c>
      <c r="G402" t="s">
        <v>2044</v>
      </c>
      <c r="H402">
        <v>184210</v>
      </c>
      <c r="I402">
        <v>236</v>
      </c>
      <c r="J402">
        <v>17.247318</v>
      </c>
      <c r="K402">
        <v>80.151443</v>
      </c>
      <c r="L402">
        <v>129.45477289999999</v>
      </c>
      <c r="M402">
        <f t="shared" si="18"/>
        <v>1288.5509690423009</v>
      </c>
      <c r="N402">
        <f t="shared" si="19"/>
        <v>4.7039310323168286E-3</v>
      </c>
      <c r="O402">
        <f t="shared" si="20"/>
        <v>6.9112366315278903E-5</v>
      </c>
    </row>
    <row r="403" spans="1:15" x14ac:dyDescent="0.2">
      <c r="A403">
        <v>402</v>
      </c>
      <c r="B403" t="s">
        <v>2046</v>
      </c>
      <c r="C403" t="s">
        <v>34</v>
      </c>
      <c r="D403">
        <v>8744</v>
      </c>
      <c r="E403" t="s">
        <v>2042</v>
      </c>
      <c r="F403" t="s">
        <v>2043</v>
      </c>
      <c r="G403" t="s">
        <v>2044</v>
      </c>
      <c r="H403">
        <v>79819</v>
      </c>
      <c r="I403">
        <v>525</v>
      </c>
      <c r="J403">
        <v>17.633529500000002</v>
      </c>
      <c r="K403">
        <v>81.039582100000004</v>
      </c>
      <c r="L403">
        <v>54.345214839999997</v>
      </c>
      <c r="M403">
        <f t="shared" si="18"/>
        <v>1257.3520618380687</v>
      </c>
      <c r="N403">
        <f t="shared" si="19"/>
        <v>1.0794280383299625E-2</v>
      </c>
      <c r="O403">
        <f t="shared" si="20"/>
        <v>7.1243254183666271E-5</v>
      </c>
    </row>
    <row r="404" spans="1:15" x14ac:dyDescent="0.2">
      <c r="A404">
        <v>403</v>
      </c>
      <c r="B404" t="s">
        <v>43</v>
      </c>
      <c r="C404" t="s">
        <v>43</v>
      </c>
      <c r="D404">
        <v>8542</v>
      </c>
      <c r="E404" t="s">
        <v>2042</v>
      </c>
      <c r="F404" t="s">
        <v>2043</v>
      </c>
      <c r="G404" t="s">
        <v>2044</v>
      </c>
      <c r="H404">
        <v>157733</v>
      </c>
      <c r="I404">
        <v>277</v>
      </c>
      <c r="J404">
        <v>16.748788000000001</v>
      </c>
      <c r="K404">
        <v>78.003625999999997</v>
      </c>
      <c r="L404">
        <v>499.01406859999997</v>
      </c>
      <c r="M404">
        <f t="shared" si="18"/>
        <v>1342.9101742056787</v>
      </c>
      <c r="N404">
        <f t="shared" si="19"/>
        <v>-2.3005764103525363E-2</v>
      </c>
      <c r="O404">
        <f t="shared" si="20"/>
        <v>-6.6880530936987622E-5</v>
      </c>
    </row>
    <row r="405" spans="1:15" x14ac:dyDescent="0.2">
      <c r="A405">
        <v>404</v>
      </c>
      <c r="B405" t="s">
        <v>2047</v>
      </c>
      <c r="C405" t="s">
        <v>12</v>
      </c>
      <c r="D405">
        <v>8736</v>
      </c>
      <c r="E405" t="s">
        <v>2042</v>
      </c>
      <c r="F405" t="s">
        <v>2043</v>
      </c>
      <c r="G405" t="s">
        <v>2044</v>
      </c>
      <c r="H405">
        <v>86911</v>
      </c>
      <c r="I405">
        <v>518</v>
      </c>
      <c r="J405">
        <v>18.868797000000001</v>
      </c>
      <c r="K405">
        <v>79.446944000000002</v>
      </c>
      <c r="L405">
        <v>153.9965363</v>
      </c>
      <c r="M405">
        <f t="shared" si="18"/>
        <v>1103.9415366738267</v>
      </c>
      <c r="N405">
        <f t="shared" si="19"/>
        <v>3.267454326311627E-3</v>
      </c>
      <c r="O405">
        <f t="shared" si="20"/>
        <v>8.0087556861798109E-5</v>
      </c>
    </row>
    <row r="406" spans="1:15" x14ac:dyDescent="0.2">
      <c r="A406">
        <v>405</v>
      </c>
      <c r="B406" t="s">
        <v>2048</v>
      </c>
      <c r="C406" t="s">
        <v>49</v>
      </c>
      <c r="D406">
        <v>8689</v>
      </c>
      <c r="E406" t="s">
        <v>2042</v>
      </c>
      <c r="F406" t="s">
        <v>2043</v>
      </c>
      <c r="G406" t="s">
        <v>2044</v>
      </c>
      <c r="H406">
        <v>103817</v>
      </c>
      <c r="I406">
        <v>443</v>
      </c>
      <c r="J406">
        <v>16.862086999999999</v>
      </c>
      <c r="K406">
        <v>79.554051000000001</v>
      </c>
      <c r="L406">
        <v>138.79005430000001</v>
      </c>
      <c r="M406">
        <f t="shared" si="18"/>
        <v>1327.3479908071859</v>
      </c>
      <c r="N406">
        <f t="shared" si="19"/>
        <v>3.8631367098252286E-3</v>
      </c>
      <c r="O406">
        <f t="shared" si="20"/>
        <v>6.696267316742103E-5</v>
      </c>
    </row>
    <row r="407" spans="1:15" x14ac:dyDescent="0.2">
      <c r="A407">
        <v>406</v>
      </c>
      <c r="B407" t="s">
        <v>49</v>
      </c>
      <c r="C407" t="s">
        <v>49</v>
      </c>
      <c r="D407">
        <v>8682</v>
      </c>
      <c r="E407" t="s">
        <v>2042</v>
      </c>
      <c r="F407" t="s">
        <v>2043</v>
      </c>
      <c r="G407" t="s">
        <v>2044</v>
      </c>
      <c r="H407">
        <v>135744</v>
      </c>
      <c r="I407">
        <v>334</v>
      </c>
      <c r="J407">
        <v>17.057358000000001</v>
      </c>
      <c r="K407">
        <v>79.268648999999996</v>
      </c>
      <c r="L407">
        <v>238.09840389999999</v>
      </c>
      <c r="M407">
        <f t="shared" si="18"/>
        <v>1304.7703238446907</v>
      </c>
      <c r="N407">
        <f t="shared" si="19"/>
        <v>-3.6811905683499608E-3</v>
      </c>
      <c r="O407">
        <f t="shared" si="20"/>
        <v>-6.8063536598268127E-5</v>
      </c>
    </row>
    <row r="408" spans="1:15" x14ac:dyDescent="0.2">
      <c r="A408">
        <v>407</v>
      </c>
      <c r="B408" t="s">
        <v>55</v>
      </c>
      <c r="C408" t="s">
        <v>55</v>
      </c>
      <c r="D408">
        <v>8462</v>
      </c>
      <c r="E408" t="s">
        <v>2042</v>
      </c>
      <c r="F408" t="s">
        <v>2043</v>
      </c>
      <c r="G408" t="s">
        <v>2044</v>
      </c>
      <c r="H408">
        <v>311152</v>
      </c>
      <c r="I408">
        <v>142</v>
      </c>
      <c r="J408">
        <v>18.673421000000001</v>
      </c>
      <c r="K408">
        <v>78.092592999999994</v>
      </c>
      <c r="L408">
        <v>392.44415279999998</v>
      </c>
      <c r="M408">
        <f t="shared" si="18"/>
        <v>1128.8152333934956</v>
      </c>
      <c r="N408">
        <f t="shared" si="19"/>
        <v>-1.7928251233074306E-2</v>
      </c>
      <c r="O408">
        <f t="shared" si="20"/>
        <v>-7.9478806918100955E-5</v>
      </c>
    </row>
    <row r="409" spans="1:15" x14ac:dyDescent="0.2">
      <c r="A409">
        <v>408</v>
      </c>
      <c r="B409" t="s">
        <v>2049</v>
      </c>
      <c r="C409" t="s">
        <v>31</v>
      </c>
      <c r="D409">
        <v>8728</v>
      </c>
      <c r="E409" t="s">
        <v>2042</v>
      </c>
      <c r="F409" t="s">
        <v>2043</v>
      </c>
      <c r="G409" t="s">
        <v>2044</v>
      </c>
      <c r="H409">
        <v>229644</v>
      </c>
      <c r="I409">
        <v>192</v>
      </c>
      <c r="J409">
        <v>18.762412000000001</v>
      </c>
      <c r="K409">
        <v>79.473361999999995</v>
      </c>
      <c r="L409">
        <v>149.149292</v>
      </c>
      <c r="M409">
        <f t="shared" si="18"/>
        <v>1115.8690635052189</v>
      </c>
      <c r="N409">
        <f t="shared" si="19"/>
        <v>3.6669203527756574E-3</v>
      </c>
      <c r="O409">
        <f t="shared" si="20"/>
        <v>7.9400015683551102E-5</v>
      </c>
    </row>
    <row r="410" spans="1:15" x14ac:dyDescent="0.2">
      <c r="A410">
        <v>409</v>
      </c>
      <c r="B410" t="s">
        <v>2050</v>
      </c>
      <c r="C410" t="s">
        <v>46</v>
      </c>
      <c r="D410">
        <v>8457</v>
      </c>
      <c r="E410" t="s">
        <v>2042</v>
      </c>
      <c r="F410" t="s">
        <v>2043</v>
      </c>
      <c r="G410" t="s">
        <v>2044</v>
      </c>
      <c r="H410">
        <v>113358</v>
      </c>
      <c r="I410">
        <v>403</v>
      </c>
      <c r="J410">
        <v>18.101863999999999</v>
      </c>
      <c r="K410">
        <v>78.851947999999993</v>
      </c>
      <c r="L410">
        <v>482.7502136</v>
      </c>
      <c r="M410">
        <f t="shared" si="18"/>
        <v>1188.519568043956</v>
      </c>
      <c r="N410">
        <f t="shared" si="19"/>
        <v>-2.4625837021908875E-2</v>
      </c>
      <c r="O410">
        <f t="shared" si="20"/>
        <v>-7.5559748928749325E-5</v>
      </c>
    </row>
    <row r="411" spans="1:15" x14ac:dyDescent="0.2">
      <c r="A411">
        <v>410</v>
      </c>
      <c r="B411" t="s">
        <v>2051</v>
      </c>
      <c r="C411" t="s">
        <v>49</v>
      </c>
      <c r="D411">
        <v>8684</v>
      </c>
      <c r="E411" t="s">
        <v>2042</v>
      </c>
      <c r="F411" t="s">
        <v>2043</v>
      </c>
      <c r="G411" t="s">
        <v>2044</v>
      </c>
      <c r="H411">
        <v>105531</v>
      </c>
      <c r="I411">
        <v>437</v>
      </c>
      <c r="J411">
        <v>17.143132000000001</v>
      </c>
      <c r="K411">
        <v>79.630418000000006</v>
      </c>
      <c r="L411">
        <v>177.20164489999999</v>
      </c>
      <c r="M411">
        <f t="shared" si="18"/>
        <v>1296.4701521725895</v>
      </c>
      <c r="N411">
        <f t="shared" si="19"/>
        <v>9.9236198214359647E-4</v>
      </c>
      <c r="O411">
        <f t="shared" si="20"/>
        <v>6.5991147745397255E-5</v>
      </c>
    </row>
    <row r="412" spans="1:15" x14ac:dyDescent="0.2">
      <c r="A412">
        <v>411</v>
      </c>
      <c r="B412" t="s">
        <v>72</v>
      </c>
      <c r="C412" t="s">
        <v>72</v>
      </c>
      <c r="D412">
        <v>870</v>
      </c>
      <c r="E412" t="s">
        <v>2042</v>
      </c>
      <c r="F412" t="s">
        <v>2043</v>
      </c>
      <c r="G412" t="s">
        <v>2044</v>
      </c>
      <c r="H412">
        <v>811844</v>
      </c>
      <c r="I412">
        <v>60</v>
      </c>
      <c r="J412">
        <v>17.975762</v>
      </c>
      <c r="K412">
        <v>79.601212000000004</v>
      </c>
      <c r="L412">
        <v>269.8690186</v>
      </c>
      <c r="M412">
        <f t="shared" si="18"/>
        <v>1203.841934814657</v>
      </c>
      <c r="N412">
        <f t="shared" si="19"/>
        <v>-6.6289181737373389E-3</v>
      </c>
      <c r="O412">
        <f t="shared" si="20"/>
        <v>-7.4164271934005956E-5</v>
      </c>
    </row>
    <row r="413" spans="1:15" x14ac:dyDescent="0.2">
      <c r="A413">
        <v>412</v>
      </c>
      <c r="B413" t="s">
        <v>2052</v>
      </c>
      <c r="C413" t="s">
        <v>1424</v>
      </c>
      <c r="D413">
        <v>381</v>
      </c>
      <c r="E413" t="s">
        <v>1415</v>
      </c>
      <c r="F413" t="s">
        <v>2053</v>
      </c>
      <c r="G413" t="s">
        <v>2054</v>
      </c>
      <c r="H413">
        <v>522613</v>
      </c>
      <c r="I413">
        <v>84</v>
      </c>
      <c r="J413">
        <v>23.831457</v>
      </c>
      <c r="K413">
        <v>91.286777700000002</v>
      </c>
      <c r="L413">
        <v>15.93061543</v>
      </c>
      <c r="M413">
        <f t="shared" si="18"/>
        <v>1339.7639675848991</v>
      </c>
      <c r="N413">
        <f t="shared" si="19"/>
        <v>1.2997566032762049E-2</v>
      </c>
      <c r="O413">
        <f t="shared" si="20"/>
        <v>6.6930428197714033E-5</v>
      </c>
    </row>
    <row r="414" spans="1:15" x14ac:dyDescent="0.2">
      <c r="A414">
        <v>413</v>
      </c>
      <c r="B414" t="s">
        <v>1428</v>
      </c>
      <c r="C414" t="s">
        <v>1428</v>
      </c>
      <c r="D414">
        <v>562</v>
      </c>
      <c r="E414" t="s">
        <v>1427</v>
      </c>
      <c r="F414" t="s">
        <v>2055</v>
      </c>
      <c r="G414" t="s">
        <v>2056</v>
      </c>
      <c r="H414">
        <v>1746467</v>
      </c>
      <c r="I414">
        <v>22</v>
      </c>
      <c r="J414">
        <v>27.176670099999999</v>
      </c>
      <c r="K414">
        <v>78.008074500000006</v>
      </c>
      <c r="L414">
        <v>167.83697509999999</v>
      </c>
      <c r="M414">
        <f t="shared" si="18"/>
        <v>205.24044651784558</v>
      </c>
      <c r="N414">
        <f t="shared" si="19"/>
        <v>1.0831367343603539E-2</v>
      </c>
      <c r="O414">
        <f t="shared" si="20"/>
        <v>4.2596072089559373E-4</v>
      </c>
    </row>
    <row r="415" spans="1:15" x14ac:dyDescent="0.2">
      <c r="A415">
        <v>414</v>
      </c>
      <c r="B415" t="s">
        <v>2057</v>
      </c>
      <c r="C415" t="s">
        <v>1437</v>
      </c>
      <c r="D415">
        <v>5271</v>
      </c>
      <c r="E415" t="s">
        <v>1427</v>
      </c>
      <c r="F415" t="s">
        <v>2055</v>
      </c>
      <c r="G415" t="s">
        <v>2056</v>
      </c>
      <c r="H415">
        <v>111594</v>
      </c>
      <c r="I415">
        <v>409</v>
      </c>
      <c r="J415">
        <v>26.440746799999999</v>
      </c>
      <c r="K415">
        <v>82.553751399999996</v>
      </c>
      <c r="L415">
        <v>91.593002319999997</v>
      </c>
      <c r="M415">
        <f t="shared" si="18"/>
        <v>434.79179786688945</v>
      </c>
      <c r="N415">
        <f t="shared" si="19"/>
        <v>2.2648614799800734E-2</v>
      </c>
      <c r="O415">
        <f t="shared" si="20"/>
        <v>2.0565747951831881E-4</v>
      </c>
    </row>
    <row r="416" spans="1:15" x14ac:dyDescent="0.2">
      <c r="A416">
        <v>415</v>
      </c>
      <c r="B416" t="s">
        <v>1431</v>
      </c>
      <c r="C416" t="s">
        <v>1431</v>
      </c>
      <c r="D416">
        <v>571</v>
      </c>
      <c r="E416" t="s">
        <v>1427</v>
      </c>
      <c r="F416" t="s">
        <v>2055</v>
      </c>
      <c r="G416" t="s">
        <v>2056</v>
      </c>
      <c r="H416">
        <v>909559</v>
      </c>
      <c r="I416">
        <v>53</v>
      </c>
      <c r="J416">
        <v>27.8973944</v>
      </c>
      <c r="K416">
        <v>78.088012899999995</v>
      </c>
      <c r="L416">
        <v>188.65634159999999</v>
      </c>
      <c r="M416">
        <f t="shared" si="18"/>
        <v>135.06714490198439</v>
      </c>
      <c r="N416">
        <f t="shared" si="19"/>
        <v>1.044650940851628E-3</v>
      </c>
      <c r="O416">
        <f t="shared" si="20"/>
        <v>4.0478950998748081E-4</v>
      </c>
    </row>
    <row r="417" spans="1:15" x14ac:dyDescent="0.2">
      <c r="A417">
        <v>416</v>
      </c>
      <c r="B417" t="s">
        <v>1434</v>
      </c>
      <c r="C417" t="s">
        <v>1434</v>
      </c>
      <c r="D417">
        <v>532</v>
      </c>
      <c r="E417" t="s">
        <v>1427</v>
      </c>
      <c r="F417" t="s">
        <v>2055</v>
      </c>
      <c r="G417" t="s">
        <v>2056</v>
      </c>
      <c r="H417">
        <v>1216719</v>
      </c>
      <c r="I417">
        <v>33</v>
      </c>
      <c r="J417">
        <v>25.435801099999999</v>
      </c>
      <c r="K417">
        <v>81.846311</v>
      </c>
      <c r="L417">
        <v>94.811973570000006</v>
      </c>
      <c r="M417">
        <f t="shared" si="18"/>
        <v>465.81613347338595</v>
      </c>
      <c r="N417">
        <f t="shared" si="19"/>
        <v>2.044913032954071E-2</v>
      </c>
      <c r="O417">
        <f t="shared" si="20"/>
        <v>1.9191805296444589E-4</v>
      </c>
    </row>
    <row r="418" spans="1:15" x14ac:dyDescent="0.2">
      <c r="A418">
        <v>417</v>
      </c>
      <c r="B418" t="s">
        <v>2058</v>
      </c>
      <c r="C418" t="s">
        <v>2058</v>
      </c>
      <c r="D418">
        <v>5922</v>
      </c>
      <c r="E418" t="s">
        <v>1427</v>
      </c>
      <c r="F418" t="s">
        <v>2055</v>
      </c>
      <c r="G418" t="s">
        <v>2056</v>
      </c>
      <c r="H418">
        <v>197135</v>
      </c>
      <c r="I418">
        <v>222</v>
      </c>
      <c r="J418">
        <v>28.904353700000001</v>
      </c>
      <c r="K418">
        <v>78.467342599999995</v>
      </c>
      <c r="L418">
        <v>222.0056305</v>
      </c>
      <c r="M418">
        <f t="shared" si="18"/>
        <v>55.795788483832595</v>
      </c>
      <c r="N418">
        <f t="shared" si="19"/>
        <v>-5.7241432674178354E-2</v>
      </c>
      <c r="O418">
        <f t="shared" si="20"/>
        <v>-1.5808833729947357E-3</v>
      </c>
    </row>
    <row r="419" spans="1:15" x14ac:dyDescent="0.2">
      <c r="A419">
        <v>418</v>
      </c>
      <c r="B419" t="s">
        <v>1440</v>
      </c>
      <c r="C419" t="s">
        <v>1440</v>
      </c>
      <c r="D419">
        <v>5683</v>
      </c>
      <c r="E419" t="s">
        <v>1427</v>
      </c>
      <c r="F419" t="s">
        <v>2055</v>
      </c>
      <c r="G419" t="s">
        <v>2056</v>
      </c>
      <c r="H419">
        <v>99674</v>
      </c>
      <c r="I419">
        <v>468</v>
      </c>
      <c r="J419">
        <v>26.462595700000001</v>
      </c>
      <c r="K419">
        <v>79.509754900000004</v>
      </c>
      <c r="L419">
        <v>142.47326659999999</v>
      </c>
      <c r="M419">
        <f t="shared" si="18"/>
        <v>263.08879071257093</v>
      </c>
      <c r="N419">
        <f t="shared" si="19"/>
        <v>1.8090491453889933E-2</v>
      </c>
      <c r="O419">
        <f t="shared" si="20"/>
        <v>3.3751469862186286E-4</v>
      </c>
    </row>
    <row r="420" spans="1:15" x14ac:dyDescent="0.2">
      <c r="A420">
        <v>419</v>
      </c>
      <c r="B420" t="s">
        <v>1443</v>
      </c>
      <c r="C420" t="s">
        <v>1443</v>
      </c>
      <c r="D420">
        <v>5462</v>
      </c>
      <c r="E420" t="s">
        <v>1427</v>
      </c>
      <c r="F420" t="s">
        <v>2055</v>
      </c>
      <c r="G420" t="s">
        <v>2056</v>
      </c>
      <c r="H420">
        <v>116165</v>
      </c>
      <c r="I420">
        <v>392</v>
      </c>
      <c r="J420">
        <v>26.0737044</v>
      </c>
      <c r="K420">
        <v>83.185945799999999</v>
      </c>
      <c r="L420">
        <v>83.685691829999996</v>
      </c>
      <c r="M420">
        <f t="shared" si="18"/>
        <v>509.65479973539931</v>
      </c>
      <c r="N420">
        <f t="shared" si="19"/>
        <v>2.0873271482036632E-2</v>
      </c>
      <c r="O420">
        <f t="shared" si="20"/>
        <v>1.7553337818737648E-4</v>
      </c>
    </row>
    <row r="421" spans="1:15" x14ac:dyDescent="0.2">
      <c r="A421">
        <v>420</v>
      </c>
      <c r="B421" t="s">
        <v>1452</v>
      </c>
      <c r="C421" t="s">
        <v>1452</v>
      </c>
      <c r="D421">
        <v>5252</v>
      </c>
      <c r="E421" t="s">
        <v>1427</v>
      </c>
      <c r="F421" t="s">
        <v>2055</v>
      </c>
      <c r="G421" t="s">
        <v>2056</v>
      </c>
      <c r="H421">
        <v>186241</v>
      </c>
      <c r="I421">
        <v>234</v>
      </c>
      <c r="J421">
        <v>27.570837699999998</v>
      </c>
      <c r="K421">
        <v>81.598024600000002</v>
      </c>
      <c r="L421">
        <v>123.51199339999999</v>
      </c>
      <c r="M421">
        <f t="shared" si="18"/>
        <v>286.27668238201159</v>
      </c>
      <c r="N421">
        <f t="shared" si="19"/>
        <v>2.3248602661668283E-2</v>
      </c>
      <c r="O421">
        <f t="shared" si="20"/>
        <v>3.1137426078377744E-4</v>
      </c>
    </row>
    <row r="422" spans="1:15" x14ac:dyDescent="0.2">
      <c r="A422">
        <v>421</v>
      </c>
      <c r="B422" t="s">
        <v>1455</v>
      </c>
      <c r="C422" t="s">
        <v>1455</v>
      </c>
      <c r="D422">
        <v>5948</v>
      </c>
      <c r="E422" t="s">
        <v>1427</v>
      </c>
      <c r="F422" t="s">
        <v>2055</v>
      </c>
      <c r="G422" t="s">
        <v>2056</v>
      </c>
      <c r="H422">
        <v>111287</v>
      </c>
      <c r="I422">
        <v>410</v>
      </c>
      <c r="J422">
        <v>25.758438099999999</v>
      </c>
      <c r="K422">
        <v>84.148731900000001</v>
      </c>
      <c r="L422">
        <v>66.555572510000005</v>
      </c>
      <c r="M422">
        <f t="shared" si="18"/>
        <v>608.17462765180824</v>
      </c>
      <c r="N422">
        <f t="shared" si="19"/>
        <v>2.0308599483487969E-2</v>
      </c>
      <c r="O422">
        <f t="shared" si="20"/>
        <v>1.4722107230407579E-4</v>
      </c>
    </row>
    <row r="423" spans="1:15" x14ac:dyDescent="0.2">
      <c r="A423">
        <v>422</v>
      </c>
      <c r="B423" t="s">
        <v>1461</v>
      </c>
      <c r="C423" t="s">
        <v>1461</v>
      </c>
      <c r="D423">
        <v>5192</v>
      </c>
      <c r="E423" t="s">
        <v>1427</v>
      </c>
      <c r="F423" t="s">
        <v>2055</v>
      </c>
      <c r="G423" t="s">
        <v>2056</v>
      </c>
      <c r="H423">
        <v>160432</v>
      </c>
      <c r="I423">
        <v>275</v>
      </c>
      <c r="J423">
        <v>25.4796224</v>
      </c>
      <c r="K423">
        <v>80.338021299999994</v>
      </c>
      <c r="L423">
        <v>123.1686783</v>
      </c>
      <c r="M423">
        <f t="shared" si="18"/>
        <v>390.27382274939634</v>
      </c>
      <c r="N423">
        <f t="shared" si="19"/>
        <v>1.7141463147262413E-2</v>
      </c>
      <c r="O423">
        <f t="shared" si="20"/>
        <v>2.2841298099720824E-4</v>
      </c>
    </row>
    <row r="424" spans="1:15" x14ac:dyDescent="0.2">
      <c r="A424">
        <v>423</v>
      </c>
      <c r="B424" t="s">
        <v>2059</v>
      </c>
      <c r="C424" t="s">
        <v>2059</v>
      </c>
      <c r="D424">
        <v>5248</v>
      </c>
      <c r="E424" t="s">
        <v>1427</v>
      </c>
      <c r="F424" t="s">
        <v>2055</v>
      </c>
      <c r="G424" t="s">
        <v>2056</v>
      </c>
      <c r="H424">
        <v>154692</v>
      </c>
      <c r="I424">
        <v>283</v>
      </c>
      <c r="J424">
        <v>26.940000099999999</v>
      </c>
      <c r="K424">
        <v>81.19</v>
      </c>
      <c r="L424">
        <v>123.17768100000001</v>
      </c>
      <c r="M424">
        <f t="shared" si="18"/>
        <v>295.9272406572141</v>
      </c>
      <c r="N424">
        <f t="shared" si="19"/>
        <v>2.260340773341691E-2</v>
      </c>
      <c r="O424">
        <f t="shared" si="20"/>
        <v>3.012344920202795E-4</v>
      </c>
    </row>
    <row r="425" spans="1:15" x14ac:dyDescent="0.2">
      <c r="A425">
        <v>424</v>
      </c>
      <c r="B425" t="s">
        <v>2060</v>
      </c>
      <c r="C425" t="s">
        <v>2061</v>
      </c>
      <c r="D425">
        <v>1234</v>
      </c>
      <c r="E425" t="s">
        <v>1427</v>
      </c>
      <c r="F425" t="s">
        <v>2055</v>
      </c>
      <c r="G425" t="s">
        <v>2056</v>
      </c>
      <c r="H425">
        <v>102733</v>
      </c>
      <c r="I425">
        <v>448</v>
      </c>
      <c r="J425">
        <v>29.099112000000002</v>
      </c>
      <c r="K425">
        <v>77.256551000000002</v>
      </c>
      <c r="L425">
        <v>230.9974823</v>
      </c>
      <c r="M425">
        <f t="shared" si="18"/>
        <v>175.48796457237722</v>
      </c>
      <c r="N425">
        <f t="shared" si="19"/>
        <v>-2.3323628261195661E-2</v>
      </c>
      <c r="O425">
        <f t="shared" si="20"/>
        <v>-5.0488041224645895E-4</v>
      </c>
    </row>
    <row r="426" spans="1:15" x14ac:dyDescent="0.2">
      <c r="A426">
        <v>425</v>
      </c>
      <c r="B426" t="s">
        <v>1467</v>
      </c>
      <c r="C426" t="s">
        <v>1467</v>
      </c>
      <c r="D426">
        <v>581</v>
      </c>
      <c r="E426" t="s">
        <v>1427</v>
      </c>
      <c r="F426" t="s">
        <v>2055</v>
      </c>
      <c r="G426" t="s">
        <v>2056</v>
      </c>
      <c r="H426">
        <v>979933</v>
      </c>
      <c r="I426">
        <v>46</v>
      </c>
      <c r="J426">
        <v>28.3670355</v>
      </c>
      <c r="K426">
        <v>79.430438100000003</v>
      </c>
      <c r="L426">
        <v>177.5299377</v>
      </c>
      <c r="M426">
        <f t="shared" si="18"/>
        <v>61.420025576862741</v>
      </c>
      <c r="N426">
        <f t="shared" si="19"/>
        <v>2.0412534808065756E-2</v>
      </c>
      <c r="O426">
        <f t="shared" si="20"/>
        <v>1.3910717048669992E-3</v>
      </c>
    </row>
    <row r="427" spans="1:15" x14ac:dyDescent="0.2">
      <c r="A427">
        <v>426</v>
      </c>
      <c r="B427" t="s">
        <v>1470</v>
      </c>
      <c r="C427" t="s">
        <v>1470</v>
      </c>
      <c r="D427">
        <v>5542</v>
      </c>
      <c r="E427" t="s">
        <v>1427</v>
      </c>
      <c r="F427" t="s">
        <v>2055</v>
      </c>
      <c r="G427" t="s">
        <v>2056</v>
      </c>
      <c r="H427">
        <v>114651</v>
      </c>
      <c r="I427">
        <v>395</v>
      </c>
      <c r="J427">
        <v>26.817679600000002</v>
      </c>
      <c r="K427">
        <v>82.763313299999993</v>
      </c>
      <c r="L427">
        <v>91.811119079999997</v>
      </c>
      <c r="M427">
        <f t="shared" si="18"/>
        <v>428.05362042739301</v>
      </c>
      <c r="N427">
        <f t="shared" si="19"/>
        <v>2.29541809789847E-2</v>
      </c>
      <c r="O427">
        <f t="shared" si="20"/>
        <v>2.0889180590681131E-4</v>
      </c>
    </row>
    <row r="428" spans="1:15" x14ac:dyDescent="0.2">
      <c r="A428">
        <v>427</v>
      </c>
      <c r="B428" t="s">
        <v>2062</v>
      </c>
      <c r="C428" t="s">
        <v>2063</v>
      </c>
      <c r="D428">
        <v>5414</v>
      </c>
      <c r="E428" t="s">
        <v>1427</v>
      </c>
      <c r="F428" t="s">
        <v>2055</v>
      </c>
      <c r="G428" t="s">
        <v>2056</v>
      </c>
      <c r="H428">
        <v>94620</v>
      </c>
      <c r="I428">
        <v>495</v>
      </c>
      <c r="J428">
        <v>25.387270000000001</v>
      </c>
      <c r="K428">
        <v>82.568030899999997</v>
      </c>
      <c r="L428">
        <v>89.063835139999995</v>
      </c>
      <c r="M428">
        <f t="shared" si="18"/>
        <v>515.80967826925632</v>
      </c>
      <c r="N428">
        <f t="shared" si="19"/>
        <v>1.9581541586987338E-2</v>
      </c>
      <c r="O428">
        <f t="shared" si="20"/>
        <v>1.7338323986298827E-4</v>
      </c>
    </row>
    <row r="429" spans="1:15" x14ac:dyDescent="0.2">
      <c r="A429">
        <v>428</v>
      </c>
      <c r="B429" t="s">
        <v>1473</v>
      </c>
      <c r="C429" t="s">
        <v>1473</v>
      </c>
      <c r="D429">
        <v>1342</v>
      </c>
      <c r="E429" t="s">
        <v>1427</v>
      </c>
      <c r="F429" t="s">
        <v>2055</v>
      </c>
      <c r="G429" t="s">
        <v>2056</v>
      </c>
      <c r="H429">
        <v>115381</v>
      </c>
      <c r="I429">
        <v>393</v>
      </c>
      <c r="J429">
        <v>29.372442199999998</v>
      </c>
      <c r="K429">
        <v>78.135847200000001</v>
      </c>
      <c r="L429">
        <v>237</v>
      </c>
      <c r="M429">
        <f t="shared" si="18"/>
        <v>108.02492468661659</v>
      </c>
      <c r="N429">
        <f t="shared" si="19"/>
        <v>-4.3446156834779613E-2</v>
      </c>
      <c r="O429">
        <f t="shared" si="20"/>
        <v>-8.2184159957240368E-4</v>
      </c>
    </row>
    <row r="430" spans="1:15" x14ac:dyDescent="0.2">
      <c r="A430">
        <v>429</v>
      </c>
      <c r="B430" t="s">
        <v>2064</v>
      </c>
      <c r="C430" t="s">
        <v>2064</v>
      </c>
      <c r="D430">
        <v>583</v>
      </c>
      <c r="E430" t="s">
        <v>1427</v>
      </c>
      <c r="F430" t="s">
        <v>2055</v>
      </c>
      <c r="G430" t="s">
        <v>2056</v>
      </c>
      <c r="H430">
        <v>369221</v>
      </c>
      <c r="I430">
        <v>120</v>
      </c>
      <c r="J430">
        <v>28.033708799999999</v>
      </c>
      <c r="K430">
        <v>79.120541900000006</v>
      </c>
      <c r="L430">
        <v>173.9219818</v>
      </c>
      <c r="M430">
        <f t="shared" si="18"/>
        <v>84.53688636838767</v>
      </c>
      <c r="N430">
        <f t="shared" si="19"/>
        <v>1.9098574236154395E-2</v>
      </c>
      <c r="O430">
        <f t="shared" si="20"/>
        <v>1.02269885950244E-3</v>
      </c>
    </row>
    <row r="431" spans="1:15" x14ac:dyDescent="0.2">
      <c r="A431">
        <v>430</v>
      </c>
      <c r="B431" t="s">
        <v>1476</v>
      </c>
      <c r="C431" t="s">
        <v>1476</v>
      </c>
      <c r="D431">
        <v>5732</v>
      </c>
      <c r="E431" t="s">
        <v>1427</v>
      </c>
      <c r="F431" t="s">
        <v>2055</v>
      </c>
      <c r="G431" t="s">
        <v>2056</v>
      </c>
      <c r="H431">
        <v>235310</v>
      </c>
      <c r="I431">
        <v>188</v>
      </c>
      <c r="J431">
        <v>28.406963000000001</v>
      </c>
      <c r="K431">
        <v>77.849829200000002</v>
      </c>
      <c r="L431">
        <v>203.59848020000001</v>
      </c>
      <c r="M431">
        <f t="shared" si="18"/>
        <v>122.3492231435355</v>
      </c>
      <c r="N431">
        <f t="shared" si="19"/>
        <v>-1.1059455918347569E-2</v>
      </c>
      <c r="O431">
        <f t="shared" si="20"/>
        <v>-7.0105328675652845E-4</v>
      </c>
    </row>
    <row r="432" spans="1:15" x14ac:dyDescent="0.2">
      <c r="A432">
        <v>431</v>
      </c>
      <c r="B432" t="s">
        <v>2065</v>
      </c>
      <c r="C432" t="s">
        <v>2066</v>
      </c>
      <c r="D432">
        <v>5921</v>
      </c>
      <c r="E432" t="s">
        <v>1427</v>
      </c>
      <c r="F432" t="s">
        <v>2055</v>
      </c>
      <c r="G432" t="s">
        <v>2056</v>
      </c>
      <c r="H432">
        <v>114254</v>
      </c>
      <c r="I432">
        <v>402</v>
      </c>
      <c r="J432">
        <v>28.4480507</v>
      </c>
      <c r="K432">
        <v>78.779610500000004</v>
      </c>
      <c r="L432">
        <v>194.05882260000001</v>
      </c>
      <c r="M432">
        <f t="shared" si="18"/>
        <v>44.870502068919343</v>
      </c>
      <c r="N432">
        <f t="shared" si="19"/>
        <v>-8.8956009314743612E-3</v>
      </c>
      <c r="O432">
        <f t="shared" si="20"/>
        <v>-1.6923156737710012E-3</v>
      </c>
    </row>
    <row r="433" spans="1:15" x14ac:dyDescent="0.2">
      <c r="A433">
        <v>432</v>
      </c>
      <c r="B433" t="s">
        <v>2067</v>
      </c>
      <c r="C433" t="s">
        <v>1501</v>
      </c>
      <c r="D433">
        <v>120</v>
      </c>
      <c r="E433" t="s">
        <v>1427</v>
      </c>
      <c r="F433" t="s">
        <v>2055</v>
      </c>
      <c r="G433" t="s">
        <v>2056</v>
      </c>
      <c r="H433">
        <v>91189</v>
      </c>
      <c r="I433">
        <v>508</v>
      </c>
      <c r="J433">
        <v>28.546190200000002</v>
      </c>
      <c r="K433">
        <v>77.556209999999993</v>
      </c>
      <c r="L433">
        <v>208.23728940000001</v>
      </c>
      <c r="M433">
        <f t="shared" si="18"/>
        <v>145.82318972463725</v>
      </c>
      <c r="N433">
        <f t="shared" si="19"/>
        <v>-1.2460273043204552E-2</v>
      </c>
      <c r="O433">
        <f t="shared" si="20"/>
        <v>-5.9558328814277408E-4</v>
      </c>
    </row>
    <row r="434" spans="1:15" x14ac:dyDescent="0.2">
      <c r="A434">
        <v>433</v>
      </c>
      <c r="B434" t="s">
        <v>2068</v>
      </c>
      <c r="C434" t="s">
        <v>1595</v>
      </c>
      <c r="D434">
        <v>1336</v>
      </c>
      <c r="E434" t="s">
        <v>1427</v>
      </c>
      <c r="F434" t="s">
        <v>2055</v>
      </c>
      <c r="G434" t="s">
        <v>2056</v>
      </c>
      <c r="H434">
        <v>97037</v>
      </c>
      <c r="I434">
        <v>480</v>
      </c>
      <c r="J434">
        <v>29.691021299999999</v>
      </c>
      <c r="K434">
        <v>77.6822442</v>
      </c>
      <c r="L434">
        <v>257.06417850000003</v>
      </c>
      <c r="M434">
        <f t="shared" si="18"/>
        <v>164.39244387104179</v>
      </c>
      <c r="N434">
        <f t="shared" si="19"/>
        <v>-4.0754219064080541E-2</v>
      </c>
      <c r="O434">
        <f t="shared" si="20"/>
        <v>-5.4226861278921016E-4</v>
      </c>
    </row>
    <row r="435" spans="1:15" x14ac:dyDescent="0.2">
      <c r="A435">
        <v>434</v>
      </c>
      <c r="B435" t="s">
        <v>1483</v>
      </c>
      <c r="C435" t="s">
        <v>1483</v>
      </c>
      <c r="D435">
        <v>5568</v>
      </c>
      <c r="E435" t="s">
        <v>1427</v>
      </c>
      <c r="F435" t="s">
        <v>2055</v>
      </c>
      <c r="G435" t="s">
        <v>2056</v>
      </c>
      <c r="H435">
        <v>129570</v>
      </c>
      <c r="I435">
        <v>353</v>
      </c>
      <c r="J435">
        <v>26.505358000000001</v>
      </c>
      <c r="K435">
        <v>83.784453999999997</v>
      </c>
      <c r="L435">
        <v>81.02468872</v>
      </c>
      <c r="M435">
        <f t="shared" si="18"/>
        <v>533.09960618717855</v>
      </c>
      <c r="N435">
        <f t="shared" si="19"/>
        <v>2.0454457631265563E-2</v>
      </c>
      <c r="O435">
        <f t="shared" si="20"/>
        <v>1.6783837364391346E-4</v>
      </c>
    </row>
    <row r="436" spans="1:15" x14ac:dyDescent="0.2">
      <c r="A436">
        <v>435</v>
      </c>
      <c r="B436" t="s">
        <v>1485</v>
      </c>
      <c r="C436" t="s">
        <v>1485</v>
      </c>
      <c r="D436">
        <v>5742</v>
      </c>
      <c r="E436" t="s">
        <v>1427</v>
      </c>
      <c r="F436" t="s">
        <v>2055</v>
      </c>
      <c r="G436" t="s">
        <v>2056</v>
      </c>
      <c r="H436">
        <v>131023</v>
      </c>
      <c r="I436">
        <v>347</v>
      </c>
      <c r="J436">
        <v>27.558750499999999</v>
      </c>
      <c r="K436">
        <v>78.662566999999996</v>
      </c>
      <c r="L436">
        <v>173.77966309999999</v>
      </c>
      <c r="M436">
        <f t="shared" si="18"/>
        <v>141.36641233405317</v>
      </c>
      <c r="N436">
        <f t="shared" si="19"/>
        <v>1.1521590193229047E-2</v>
      </c>
      <c r="O436">
        <f t="shared" si="20"/>
        <v>6.1179078347402076E-4</v>
      </c>
    </row>
    <row r="437" spans="1:15" x14ac:dyDescent="0.2">
      <c r="A437">
        <v>436</v>
      </c>
      <c r="B437" t="s">
        <v>1488</v>
      </c>
      <c r="C437" t="s">
        <v>1488</v>
      </c>
      <c r="D437">
        <v>5688</v>
      </c>
      <c r="E437" t="s">
        <v>1427</v>
      </c>
      <c r="F437" t="s">
        <v>2055</v>
      </c>
      <c r="G437" t="s">
        <v>2056</v>
      </c>
      <c r="H437">
        <v>256790</v>
      </c>
      <c r="I437">
        <v>175</v>
      </c>
      <c r="J437">
        <v>26.784783999999998</v>
      </c>
      <c r="K437">
        <v>79.021450999999999</v>
      </c>
      <c r="L437">
        <v>152.56626890000001</v>
      </c>
      <c r="M437">
        <f t="shared" si="18"/>
        <v>222.89273144344921</v>
      </c>
      <c r="N437">
        <f t="shared" si="19"/>
        <v>1.6824708754360838E-2</v>
      </c>
      <c r="O437">
        <f t="shared" si="20"/>
        <v>3.9692867888584338E-4</v>
      </c>
    </row>
    <row r="438" spans="1:15" x14ac:dyDescent="0.2">
      <c r="A438">
        <v>437</v>
      </c>
      <c r="B438" t="s">
        <v>1491</v>
      </c>
      <c r="C438" t="s">
        <v>1491</v>
      </c>
      <c r="D438">
        <v>5278</v>
      </c>
      <c r="E438" t="s">
        <v>1427</v>
      </c>
      <c r="F438" t="s">
        <v>2055</v>
      </c>
      <c r="G438" t="s">
        <v>2056</v>
      </c>
      <c r="H438">
        <v>642381</v>
      </c>
      <c r="I438">
        <v>71</v>
      </c>
      <c r="J438">
        <v>26.773247600000001</v>
      </c>
      <c r="K438">
        <v>82.1441643</v>
      </c>
      <c r="L438">
        <v>104</v>
      </c>
      <c r="M438">
        <f t="shared" si="18"/>
        <v>379.99426924476165</v>
      </c>
      <c r="N438">
        <f t="shared" si="19"/>
        <v>2.2649636788222818E-2</v>
      </c>
      <c r="O438">
        <f t="shared" si="20"/>
        <v>2.3509386407752152E-4</v>
      </c>
    </row>
    <row r="439" spans="1:15" x14ac:dyDescent="0.2">
      <c r="A439">
        <v>438</v>
      </c>
      <c r="B439" t="s">
        <v>1494</v>
      </c>
      <c r="C439" t="s">
        <v>1494</v>
      </c>
      <c r="D439">
        <v>5692</v>
      </c>
      <c r="E439" t="s">
        <v>1427</v>
      </c>
      <c r="F439" t="s">
        <v>2055</v>
      </c>
      <c r="G439" t="s">
        <v>2056</v>
      </c>
      <c r="H439">
        <v>318540</v>
      </c>
      <c r="I439">
        <v>140</v>
      </c>
      <c r="J439">
        <v>27.382612600000002</v>
      </c>
      <c r="K439">
        <v>79.594054400000005</v>
      </c>
      <c r="L439">
        <v>150.92709350000001</v>
      </c>
      <c r="M439">
        <f t="shared" si="18"/>
        <v>166.0810021230848</v>
      </c>
      <c r="N439">
        <f t="shared" si="19"/>
        <v>2.3566950945414371E-2</v>
      </c>
      <c r="O439">
        <f t="shared" si="20"/>
        <v>5.3309203434454575E-4</v>
      </c>
    </row>
    <row r="440" spans="1:15" x14ac:dyDescent="0.2">
      <c r="A440">
        <v>439</v>
      </c>
      <c r="B440" t="s">
        <v>1496</v>
      </c>
      <c r="C440" t="s">
        <v>1496</v>
      </c>
      <c r="D440">
        <v>5180</v>
      </c>
      <c r="E440" t="s">
        <v>1427</v>
      </c>
      <c r="F440" t="s">
        <v>2055</v>
      </c>
      <c r="G440" t="s">
        <v>2056</v>
      </c>
      <c r="H440">
        <v>193801</v>
      </c>
      <c r="I440">
        <v>226</v>
      </c>
      <c r="J440">
        <v>25.920073599999998</v>
      </c>
      <c r="K440">
        <v>80.809994099999997</v>
      </c>
      <c r="L440">
        <v>120.8431854</v>
      </c>
      <c r="M440">
        <f t="shared" si="18"/>
        <v>364.49393532717494</v>
      </c>
      <c r="N440">
        <f t="shared" si="19"/>
        <v>1.8991848612752209E-2</v>
      </c>
      <c r="O440">
        <f t="shared" si="20"/>
        <v>2.4464706795328343E-4</v>
      </c>
    </row>
    <row r="441" spans="1:15" x14ac:dyDescent="0.2">
      <c r="A441">
        <v>440</v>
      </c>
      <c r="B441" t="s">
        <v>1498</v>
      </c>
      <c r="C441" t="s">
        <v>1498</v>
      </c>
      <c r="D441">
        <v>5612</v>
      </c>
      <c r="E441" t="s">
        <v>1427</v>
      </c>
      <c r="F441" t="s">
        <v>2055</v>
      </c>
      <c r="G441" t="s">
        <v>2056</v>
      </c>
      <c r="H441">
        <v>603797</v>
      </c>
      <c r="I441">
        <v>73</v>
      </c>
      <c r="J441">
        <v>27.159100599999999</v>
      </c>
      <c r="K441">
        <v>78.395757399999994</v>
      </c>
      <c r="L441">
        <v>166.38591</v>
      </c>
      <c r="M441">
        <f t="shared" si="18"/>
        <v>191.51055585459795</v>
      </c>
      <c r="N441">
        <f t="shared" si="19"/>
        <v>1.2365590864860644E-2</v>
      </c>
      <c r="O441">
        <f t="shared" si="20"/>
        <v>4.5732202646111246E-4</v>
      </c>
    </row>
    <row r="442" spans="1:15" x14ac:dyDescent="0.2">
      <c r="A442">
        <v>441</v>
      </c>
      <c r="B442" t="s">
        <v>1504</v>
      </c>
      <c r="C442" t="s">
        <v>1504</v>
      </c>
      <c r="D442">
        <v>120</v>
      </c>
      <c r="E442" t="s">
        <v>1427</v>
      </c>
      <c r="F442" t="s">
        <v>2055</v>
      </c>
      <c r="G442" t="s">
        <v>2056</v>
      </c>
      <c r="H442">
        <v>2358525</v>
      </c>
      <c r="I442">
        <v>14</v>
      </c>
      <c r="J442">
        <v>28.6691565</v>
      </c>
      <c r="K442">
        <v>77.453757800000005</v>
      </c>
      <c r="L442">
        <v>218.16654969999999</v>
      </c>
      <c r="M442">
        <f t="shared" si="18"/>
        <v>153.78256373171737</v>
      </c>
      <c r="N442">
        <f t="shared" si="19"/>
        <v>-1.8272050626637181E-2</v>
      </c>
      <c r="O442">
        <f t="shared" si="20"/>
        <v>-5.7198817801319874E-4</v>
      </c>
    </row>
    <row r="443" spans="1:15" x14ac:dyDescent="0.2">
      <c r="A443">
        <v>442</v>
      </c>
      <c r="B443" t="s">
        <v>1507</v>
      </c>
      <c r="C443" t="s">
        <v>1507</v>
      </c>
      <c r="D443">
        <v>548</v>
      </c>
      <c r="E443" t="s">
        <v>1427</v>
      </c>
      <c r="F443" t="s">
        <v>2055</v>
      </c>
      <c r="G443" t="s">
        <v>2056</v>
      </c>
      <c r="H443">
        <v>121136</v>
      </c>
      <c r="I443">
        <v>371</v>
      </c>
      <c r="J443">
        <v>25.584041899999999</v>
      </c>
      <c r="K443">
        <v>83.577020200000007</v>
      </c>
      <c r="L443">
        <v>72.603866580000002</v>
      </c>
      <c r="M443">
        <f t="shared" si="18"/>
        <v>574.13641229087716</v>
      </c>
      <c r="N443">
        <f t="shared" si="19"/>
        <v>2.045915442835369E-2</v>
      </c>
      <c r="O443">
        <f t="shared" si="20"/>
        <v>1.5590761098620799E-4</v>
      </c>
    </row>
    <row r="444" spans="1:15" x14ac:dyDescent="0.2">
      <c r="A444">
        <v>443</v>
      </c>
      <c r="B444" t="s">
        <v>1509</v>
      </c>
      <c r="C444" t="s">
        <v>1509</v>
      </c>
      <c r="D444">
        <v>5262</v>
      </c>
      <c r="E444" t="s">
        <v>1427</v>
      </c>
      <c r="F444" t="s">
        <v>2055</v>
      </c>
      <c r="G444" t="s">
        <v>2056</v>
      </c>
      <c r="H444">
        <v>138929</v>
      </c>
      <c r="I444">
        <v>327</v>
      </c>
      <c r="J444">
        <v>27.133991300000002</v>
      </c>
      <c r="K444">
        <v>81.961896800000005</v>
      </c>
      <c r="L444">
        <v>110.31723789999999</v>
      </c>
      <c r="M444">
        <f t="shared" si="18"/>
        <v>342.15134303990334</v>
      </c>
      <c r="N444">
        <f t="shared" si="19"/>
        <v>2.330842345713054E-2</v>
      </c>
      <c r="O444">
        <f t="shared" si="20"/>
        <v>2.6094182544023368E-4</v>
      </c>
    </row>
    <row r="445" spans="1:15" x14ac:dyDescent="0.2">
      <c r="A445">
        <v>444</v>
      </c>
      <c r="B445" t="s">
        <v>1511</v>
      </c>
      <c r="C445" t="s">
        <v>1511</v>
      </c>
      <c r="D445">
        <v>551</v>
      </c>
      <c r="E445" t="s">
        <v>1427</v>
      </c>
      <c r="F445" t="s">
        <v>2055</v>
      </c>
      <c r="G445" t="s">
        <v>2056</v>
      </c>
      <c r="H445">
        <v>692519</v>
      </c>
      <c r="I445">
        <v>66</v>
      </c>
      <c r="J445">
        <v>26.760554500000001</v>
      </c>
      <c r="K445">
        <v>83.373167499999994</v>
      </c>
      <c r="L445">
        <v>82.139244079999997</v>
      </c>
      <c r="M445">
        <f t="shared" si="18"/>
        <v>483.57231726462379</v>
      </c>
      <c r="N445">
        <f t="shared" si="19"/>
        <v>2.2318911539541016E-2</v>
      </c>
      <c r="O445">
        <f t="shared" si="20"/>
        <v>1.8501709462699542E-4</v>
      </c>
    </row>
    <row r="446" spans="1:15" x14ac:dyDescent="0.2">
      <c r="A446">
        <v>445</v>
      </c>
      <c r="B446" t="s">
        <v>2069</v>
      </c>
      <c r="C446" t="s">
        <v>2070</v>
      </c>
      <c r="D446">
        <v>120</v>
      </c>
      <c r="E446" t="s">
        <v>1427</v>
      </c>
      <c r="F446" t="s">
        <v>2055</v>
      </c>
      <c r="G446" t="s">
        <v>2056</v>
      </c>
      <c r="H446">
        <v>107676</v>
      </c>
      <c r="I446">
        <v>424</v>
      </c>
      <c r="J446">
        <v>28.4743879</v>
      </c>
      <c r="K446">
        <v>77.503990400000006</v>
      </c>
      <c r="L446">
        <v>201.2235565</v>
      </c>
      <c r="M446">
        <f t="shared" si="18"/>
        <v>152.51522315304967</v>
      </c>
      <c r="N446">
        <f t="shared" si="19"/>
        <v>-7.3148335420947907E-3</v>
      </c>
      <c r="O446">
        <f t="shared" si="20"/>
        <v>-5.5652100649954714E-4</v>
      </c>
    </row>
    <row r="447" spans="1:15" x14ac:dyDescent="0.2">
      <c r="A447">
        <v>446</v>
      </c>
      <c r="B447" t="s">
        <v>2071</v>
      </c>
      <c r="C447" t="s">
        <v>2071</v>
      </c>
      <c r="D447">
        <v>122</v>
      </c>
      <c r="E447" t="s">
        <v>1427</v>
      </c>
      <c r="F447" t="s">
        <v>2055</v>
      </c>
      <c r="G447" t="s">
        <v>2056</v>
      </c>
      <c r="H447">
        <v>262801</v>
      </c>
      <c r="I447">
        <v>171</v>
      </c>
      <c r="J447">
        <v>28.730579800000001</v>
      </c>
      <c r="K447">
        <v>77.775882499999994</v>
      </c>
      <c r="L447">
        <v>215</v>
      </c>
      <c r="M447">
        <f t="shared" si="18"/>
        <v>121.93151900070272</v>
      </c>
      <c r="N447">
        <f t="shared" si="19"/>
        <v>-2.0448099395740573E-2</v>
      </c>
      <c r="O447">
        <f t="shared" si="20"/>
        <v>-7.1928253101405523E-4</v>
      </c>
    </row>
    <row r="448" spans="1:15" x14ac:dyDescent="0.2">
      <c r="A448">
        <v>447</v>
      </c>
      <c r="B448" t="s">
        <v>1515</v>
      </c>
      <c r="C448" t="s">
        <v>1515</v>
      </c>
      <c r="D448">
        <v>5852</v>
      </c>
      <c r="E448" t="s">
        <v>1427</v>
      </c>
      <c r="F448" t="s">
        <v>2055</v>
      </c>
      <c r="G448" t="s">
        <v>2056</v>
      </c>
      <c r="H448">
        <v>197046</v>
      </c>
      <c r="I448">
        <v>223</v>
      </c>
      <c r="J448">
        <v>27.3986345</v>
      </c>
      <c r="K448">
        <v>80.131692700000002</v>
      </c>
      <c r="L448">
        <v>149.3543243</v>
      </c>
      <c r="M448">
        <f t="shared" si="18"/>
        <v>188.93684089431864</v>
      </c>
      <c r="N448">
        <f t="shared" si="19"/>
        <v>2.1548469481805679E-2</v>
      </c>
      <c r="O448">
        <f t="shared" si="20"/>
        <v>4.6890258776825425E-4</v>
      </c>
    </row>
    <row r="449" spans="1:15" x14ac:dyDescent="0.2">
      <c r="A449">
        <v>448</v>
      </c>
      <c r="B449" t="s">
        <v>1518</v>
      </c>
      <c r="C449" t="s">
        <v>1518</v>
      </c>
      <c r="D449">
        <v>5722</v>
      </c>
      <c r="E449" t="s">
        <v>1427</v>
      </c>
      <c r="F449" t="s">
        <v>2055</v>
      </c>
      <c r="G449" t="s">
        <v>2056</v>
      </c>
      <c r="H449">
        <v>161289</v>
      </c>
      <c r="I449">
        <v>273</v>
      </c>
      <c r="J449">
        <v>27.605621200000002</v>
      </c>
      <c r="K449">
        <v>78.053781299999997</v>
      </c>
      <c r="L449">
        <v>183.0232239</v>
      </c>
      <c r="M449">
        <f t="shared" si="18"/>
        <v>162.42245137131775</v>
      </c>
      <c r="N449">
        <f t="shared" si="19"/>
        <v>4.3368991420381416E-3</v>
      </c>
      <c r="O449">
        <f t="shared" si="20"/>
        <v>5.0436450967236788E-4</v>
      </c>
    </row>
    <row r="450" spans="1:15" x14ac:dyDescent="0.2">
      <c r="A450">
        <v>449</v>
      </c>
      <c r="B450" t="s">
        <v>1524</v>
      </c>
      <c r="C450" t="s">
        <v>1524</v>
      </c>
      <c r="D450">
        <v>5452</v>
      </c>
      <c r="E450" t="s">
        <v>1427</v>
      </c>
      <c r="F450" t="s">
        <v>2055</v>
      </c>
      <c r="G450" t="s">
        <v>2056</v>
      </c>
      <c r="H450">
        <v>168128</v>
      </c>
      <c r="I450">
        <v>260</v>
      </c>
      <c r="J450">
        <v>25.749003399999999</v>
      </c>
      <c r="K450">
        <v>82.698700200000005</v>
      </c>
      <c r="L450">
        <v>82.506340030000004</v>
      </c>
      <c r="M450">
        <f t="shared" si="18"/>
        <v>496.05167598847544</v>
      </c>
      <c r="N450">
        <f t="shared" si="19"/>
        <v>2.1683422711084421E-2</v>
      </c>
      <c r="O450">
        <f t="shared" si="20"/>
        <v>1.8035889778734082E-4</v>
      </c>
    </row>
    <row r="451" spans="1:15" x14ac:dyDescent="0.2">
      <c r="A451">
        <v>450</v>
      </c>
      <c r="B451" t="s">
        <v>1527</v>
      </c>
      <c r="C451" t="s">
        <v>1527</v>
      </c>
      <c r="D451">
        <v>510</v>
      </c>
      <c r="E451" t="s">
        <v>1427</v>
      </c>
      <c r="F451" t="s">
        <v>2055</v>
      </c>
      <c r="G451" t="s">
        <v>2056</v>
      </c>
      <c r="H451">
        <v>549391</v>
      </c>
      <c r="I451">
        <v>82</v>
      </c>
      <c r="J451">
        <v>25.448425700000001</v>
      </c>
      <c r="K451">
        <v>78.568459399999995</v>
      </c>
      <c r="L451">
        <v>257.98300169999999</v>
      </c>
      <c r="M451">
        <f t="shared" ref="M451:M514" si="21">2*6371*ASIN(SQRT(
    SIN(RADIANS(J451-$V$6)/2)^2 +
    COS(RADIANS($V$6)) * COS(RADIANS(J451)) *
    SIN(RADIANS(K451-$V$7)/2)^2
))</f>
        <v>374.22453668257623</v>
      </c>
      <c r="N451">
        <f t="shared" ref="N451:N514" si="22">($V$5-L451)/(M451*1000)*100</f>
        <v>-1.8148377041777793E-2</v>
      </c>
      <c r="O451">
        <f t="shared" ref="O451:O514" si="23">DEGREES(ATAN($V$5-L451)/(M451*1000))</f>
        <v>-2.3824314314683389E-4</v>
      </c>
    </row>
    <row r="452" spans="1:15" x14ac:dyDescent="0.2">
      <c r="A452">
        <v>451</v>
      </c>
      <c r="B452" t="s">
        <v>1539</v>
      </c>
      <c r="C452" t="s">
        <v>1539</v>
      </c>
      <c r="D452">
        <v>522</v>
      </c>
      <c r="E452" t="s">
        <v>1427</v>
      </c>
      <c r="F452" t="s">
        <v>2055</v>
      </c>
      <c r="G452" t="s">
        <v>2056</v>
      </c>
      <c r="H452">
        <v>2920067</v>
      </c>
      <c r="I452">
        <v>11</v>
      </c>
      <c r="J452">
        <v>26.447965</v>
      </c>
      <c r="K452">
        <v>80.330572000000004</v>
      </c>
      <c r="L452">
        <v>132.236557</v>
      </c>
      <c r="M452">
        <f t="shared" si="21"/>
        <v>290.38307609063401</v>
      </c>
      <c r="N452">
        <f t="shared" si="22"/>
        <v>1.9915335831055779E-2</v>
      </c>
      <c r="O452">
        <f t="shared" si="23"/>
        <v>3.0652388839137832E-4</v>
      </c>
    </row>
    <row r="453" spans="1:15" x14ac:dyDescent="0.2">
      <c r="A453">
        <v>452</v>
      </c>
      <c r="B453" t="s">
        <v>2072</v>
      </c>
      <c r="C453" t="s">
        <v>2072</v>
      </c>
      <c r="D453">
        <v>5744</v>
      </c>
      <c r="E453" t="s">
        <v>1427</v>
      </c>
      <c r="F453" t="s">
        <v>2055</v>
      </c>
      <c r="G453" t="s">
        <v>2056</v>
      </c>
      <c r="H453">
        <v>101241</v>
      </c>
      <c r="I453">
        <v>459</v>
      </c>
      <c r="J453">
        <v>27.8129344</v>
      </c>
      <c r="K453">
        <v>78.649784999999994</v>
      </c>
      <c r="L453">
        <v>176.50523380000001</v>
      </c>
      <c r="M453">
        <f t="shared" si="21"/>
        <v>114.61201161044971</v>
      </c>
      <c r="N453">
        <f t="shared" si="22"/>
        <v>1.1833042461636254E-2</v>
      </c>
      <c r="O453">
        <f t="shared" si="23"/>
        <v>7.4846369348147525E-4</v>
      </c>
    </row>
    <row r="454" spans="1:15" x14ac:dyDescent="0.2">
      <c r="A454">
        <v>453</v>
      </c>
      <c r="B454" t="s">
        <v>2073</v>
      </c>
      <c r="C454" t="s">
        <v>1431</v>
      </c>
      <c r="D454">
        <v>5724</v>
      </c>
      <c r="E454" t="s">
        <v>1427</v>
      </c>
      <c r="F454" t="s">
        <v>2055</v>
      </c>
      <c r="G454" t="s">
        <v>2056</v>
      </c>
      <c r="H454">
        <v>102106</v>
      </c>
      <c r="I454">
        <v>452</v>
      </c>
      <c r="J454">
        <v>27.939195600000001</v>
      </c>
      <c r="K454">
        <v>77.842445600000005</v>
      </c>
      <c r="L454">
        <v>191.1534882</v>
      </c>
      <c r="M454">
        <f t="shared" si="21"/>
        <v>149.4057245627489</v>
      </c>
      <c r="N454">
        <f t="shared" si="22"/>
        <v>-7.2699115323644596E-4</v>
      </c>
      <c r="O454">
        <f t="shared" si="23"/>
        <v>-3.1702388702848142E-4</v>
      </c>
    </row>
    <row r="455" spans="1:15" x14ac:dyDescent="0.2">
      <c r="A455">
        <v>454</v>
      </c>
      <c r="B455" t="s">
        <v>2074</v>
      </c>
      <c r="C455" t="s">
        <v>1580</v>
      </c>
      <c r="D455">
        <v>1396</v>
      </c>
      <c r="E455" t="s">
        <v>1427</v>
      </c>
      <c r="F455" t="s">
        <v>2055</v>
      </c>
      <c r="G455" t="s">
        <v>2056</v>
      </c>
      <c r="H455">
        <v>97427</v>
      </c>
      <c r="I455">
        <v>477</v>
      </c>
      <c r="J455">
        <v>29.2758596</v>
      </c>
      <c r="K455">
        <v>77.730901200000005</v>
      </c>
      <c r="L455">
        <v>242.22062679999999</v>
      </c>
      <c r="M455">
        <f t="shared" si="21"/>
        <v>136.94938484116821</v>
      </c>
      <c r="N455">
        <f t="shared" si="22"/>
        <v>-3.8082175440573601E-2</v>
      </c>
      <c r="O455">
        <f t="shared" si="23"/>
        <v>-6.4915612192022914E-4</v>
      </c>
    </row>
    <row r="456" spans="1:15" x14ac:dyDescent="0.2">
      <c r="A456">
        <v>455</v>
      </c>
      <c r="B456" t="s">
        <v>2075</v>
      </c>
      <c r="C456" t="s">
        <v>1476</v>
      </c>
      <c r="D456">
        <v>5738</v>
      </c>
      <c r="E456" t="s">
        <v>1427</v>
      </c>
      <c r="F456" t="s">
        <v>2055</v>
      </c>
      <c r="G456" t="s">
        <v>2056</v>
      </c>
      <c r="H456">
        <v>142636</v>
      </c>
      <c r="I456">
        <v>318</v>
      </c>
      <c r="J456">
        <v>28.2513538</v>
      </c>
      <c r="K456">
        <v>77.853879699999993</v>
      </c>
      <c r="L456">
        <v>204.86157230000001</v>
      </c>
      <c r="M456">
        <f t="shared" si="21"/>
        <v>129.10710327873531</v>
      </c>
      <c r="N456">
        <f t="shared" si="22"/>
        <v>-1.145889739936308E-2</v>
      </c>
      <c r="O456">
        <f t="shared" si="23"/>
        <v>-6.671440917089391E-4</v>
      </c>
    </row>
    <row r="457" spans="1:15" x14ac:dyDescent="0.2">
      <c r="A457">
        <v>456</v>
      </c>
      <c r="B457" t="s">
        <v>167</v>
      </c>
      <c r="C457" t="s">
        <v>1547</v>
      </c>
      <c r="D457">
        <v>5872</v>
      </c>
      <c r="E457" t="s">
        <v>1427</v>
      </c>
      <c r="F457" t="s">
        <v>2055</v>
      </c>
      <c r="G457" t="s">
        <v>2056</v>
      </c>
      <c r="H457">
        <v>164925</v>
      </c>
      <c r="I457">
        <v>266</v>
      </c>
      <c r="J457">
        <v>27.949079399999999</v>
      </c>
      <c r="K457">
        <v>80.782401199999995</v>
      </c>
      <c r="L457">
        <v>150.91882319999999</v>
      </c>
      <c r="M457">
        <f t="shared" si="21"/>
        <v>195.68943810588161</v>
      </c>
      <c r="N457">
        <f t="shared" si="22"/>
        <v>2.0005422356426796E-2</v>
      </c>
      <c r="O457">
        <f t="shared" si="23"/>
        <v>4.5243508893482467E-4</v>
      </c>
    </row>
    <row r="458" spans="1:15" x14ac:dyDescent="0.2">
      <c r="A458">
        <v>457</v>
      </c>
      <c r="B458" t="s">
        <v>1550</v>
      </c>
      <c r="C458" t="s">
        <v>1550</v>
      </c>
      <c r="D458">
        <v>5176</v>
      </c>
      <c r="E458" t="s">
        <v>1427</v>
      </c>
      <c r="F458" t="s">
        <v>2055</v>
      </c>
      <c r="G458" t="s">
        <v>2056</v>
      </c>
      <c r="H458">
        <v>133041</v>
      </c>
      <c r="I458">
        <v>341</v>
      </c>
      <c r="J458">
        <v>24.687859700000001</v>
      </c>
      <c r="K458">
        <v>78.412020600000005</v>
      </c>
      <c r="L458">
        <v>358.67218020000001</v>
      </c>
      <c r="M458">
        <f t="shared" si="21"/>
        <v>460.10057403232992</v>
      </c>
      <c r="N458">
        <f t="shared" si="22"/>
        <v>-3.6645218005781632E-2</v>
      </c>
      <c r="O458">
        <f t="shared" si="23"/>
        <v>-1.9487083089783877E-4</v>
      </c>
    </row>
    <row r="459" spans="1:15" x14ac:dyDescent="0.2">
      <c r="A459">
        <v>458</v>
      </c>
      <c r="B459" t="s">
        <v>1553</v>
      </c>
      <c r="C459" t="s">
        <v>1553</v>
      </c>
      <c r="D459">
        <v>512</v>
      </c>
      <c r="E459" t="s">
        <v>1427</v>
      </c>
      <c r="F459" t="s">
        <v>2055</v>
      </c>
      <c r="G459" t="s">
        <v>2056</v>
      </c>
      <c r="H459">
        <v>2901474</v>
      </c>
      <c r="I459">
        <v>12</v>
      </c>
      <c r="J459">
        <v>26.846693699999999</v>
      </c>
      <c r="K459">
        <v>80.946166000000005</v>
      </c>
      <c r="L459">
        <v>117.335022</v>
      </c>
      <c r="M459">
        <f t="shared" si="21"/>
        <v>286.96928864546459</v>
      </c>
      <c r="N459">
        <f t="shared" si="22"/>
        <v>2.5344976859128968E-2</v>
      </c>
      <c r="O459">
        <f t="shared" si="23"/>
        <v>3.1087747242105826E-4</v>
      </c>
    </row>
    <row r="460" spans="1:15" x14ac:dyDescent="0.2">
      <c r="A460">
        <v>459</v>
      </c>
      <c r="B460" t="s">
        <v>1559</v>
      </c>
      <c r="C460" t="s">
        <v>1559</v>
      </c>
      <c r="D460">
        <v>5281</v>
      </c>
      <c r="E460" t="s">
        <v>1427</v>
      </c>
      <c r="F460" t="s">
        <v>2055</v>
      </c>
      <c r="G460" t="s">
        <v>2056</v>
      </c>
      <c r="H460">
        <v>95216</v>
      </c>
      <c r="I460">
        <v>490</v>
      </c>
      <c r="J460">
        <v>25.292096399999998</v>
      </c>
      <c r="K460">
        <v>79.872416799999996</v>
      </c>
      <c r="L460">
        <v>208.4297943</v>
      </c>
      <c r="M460">
        <f t="shared" si="21"/>
        <v>397.82155475488889</v>
      </c>
      <c r="N460">
        <f t="shared" si="22"/>
        <v>-4.6157560545741988E-3</v>
      </c>
      <c r="O460">
        <f t="shared" si="23"/>
        <v>-2.1839644732364786E-4</v>
      </c>
    </row>
    <row r="461" spans="1:15" x14ac:dyDescent="0.2">
      <c r="A461">
        <v>460</v>
      </c>
      <c r="B461" t="s">
        <v>1562</v>
      </c>
      <c r="C461" t="s">
        <v>1562</v>
      </c>
      <c r="D461">
        <v>5672</v>
      </c>
      <c r="E461" t="s">
        <v>1427</v>
      </c>
      <c r="F461" t="s">
        <v>2055</v>
      </c>
      <c r="G461" t="s">
        <v>2056</v>
      </c>
      <c r="H461">
        <v>133078</v>
      </c>
      <c r="I461">
        <v>339</v>
      </c>
      <c r="J461">
        <v>27.228498600000002</v>
      </c>
      <c r="K461">
        <v>79.024951599999994</v>
      </c>
      <c r="L461">
        <v>160.05207820000001</v>
      </c>
      <c r="M461">
        <f t="shared" si="21"/>
        <v>173.55365307892347</v>
      </c>
      <c r="N461">
        <f t="shared" si="22"/>
        <v>1.7294504072668852E-2</v>
      </c>
      <c r="O461">
        <f t="shared" si="23"/>
        <v>5.0757684942441029E-4</v>
      </c>
    </row>
    <row r="462" spans="1:15" x14ac:dyDescent="0.2">
      <c r="A462">
        <v>461</v>
      </c>
      <c r="B462" t="s">
        <v>1565</v>
      </c>
      <c r="C462" t="s">
        <v>1565</v>
      </c>
      <c r="D462">
        <v>565</v>
      </c>
      <c r="E462" t="s">
        <v>1427</v>
      </c>
      <c r="F462" t="s">
        <v>2055</v>
      </c>
      <c r="G462" t="s">
        <v>2056</v>
      </c>
      <c r="H462">
        <v>454937</v>
      </c>
      <c r="I462">
        <v>99</v>
      </c>
      <c r="J462">
        <v>27.4924134</v>
      </c>
      <c r="K462">
        <v>77.673672999999994</v>
      </c>
      <c r="L462">
        <v>176.55004880000001</v>
      </c>
      <c r="M462">
        <f t="shared" si="21"/>
        <v>195.82868178795013</v>
      </c>
      <c r="N462">
        <f t="shared" si="22"/>
        <v>6.9026012311296393E-3</v>
      </c>
      <c r="O462">
        <f t="shared" si="23"/>
        <v>4.3797975970161327E-4</v>
      </c>
    </row>
    <row r="463" spans="1:15" x14ac:dyDescent="0.2">
      <c r="A463">
        <v>462</v>
      </c>
      <c r="B463" t="s">
        <v>1568</v>
      </c>
      <c r="C463" t="s">
        <v>1568</v>
      </c>
      <c r="D463">
        <v>5464</v>
      </c>
      <c r="E463" t="s">
        <v>1427</v>
      </c>
      <c r="F463" t="s">
        <v>2055</v>
      </c>
      <c r="G463" t="s">
        <v>2056</v>
      </c>
      <c r="H463">
        <v>279060</v>
      </c>
      <c r="I463">
        <v>163</v>
      </c>
      <c r="J463">
        <v>25.949637899999999</v>
      </c>
      <c r="K463">
        <v>83.5586445</v>
      </c>
      <c r="L463">
        <v>77.100677489999995</v>
      </c>
      <c r="M463">
        <f t="shared" si="21"/>
        <v>547.7539525017603</v>
      </c>
      <c r="N463">
        <f t="shared" si="22"/>
        <v>2.062361098337067E-2</v>
      </c>
      <c r="O463">
        <f t="shared" si="23"/>
        <v>1.6338142486706426E-4</v>
      </c>
    </row>
    <row r="464" spans="1:15" x14ac:dyDescent="0.2">
      <c r="A464">
        <v>463</v>
      </c>
      <c r="B464" t="s">
        <v>1571</v>
      </c>
      <c r="C464" t="s">
        <v>1571</v>
      </c>
      <c r="D464">
        <v>121</v>
      </c>
      <c r="E464" t="s">
        <v>1427</v>
      </c>
      <c r="F464" t="s">
        <v>2055</v>
      </c>
      <c r="G464" t="s">
        <v>2056</v>
      </c>
      <c r="H464">
        <v>1424908</v>
      </c>
      <c r="I464">
        <v>27</v>
      </c>
      <c r="J464">
        <v>28.984461799999998</v>
      </c>
      <c r="K464">
        <v>77.706413699999999</v>
      </c>
      <c r="L464">
        <v>225.05320739999999</v>
      </c>
      <c r="M464">
        <f t="shared" si="21"/>
        <v>130.19269396415629</v>
      </c>
      <c r="N464">
        <f t="shared" si="22"/>
        <v>-2.6872387792845006E-2</v>
      </c>
      <c r="O464">
        <f t="shared" si="23"/>
        <v>-6.7870754019153611E-4</v>
      </c>
    </row>
    <row r="465" spans="1:15" x14ac:dyDescent="0.2">
      <c r="A465">
        <v>464</v>
      </c>
      <c r="B465" t="s">
        <v>1574</v>
      </c>
      <c r="C465" t="s">
        <v>1574</v>
      </c>
      <c r="D465">
        <v>5442</v>
      </c>
      <c r="E465" t="s">
        <v>1427</v>
      </c>
      <c r="F465" t="s">
        <v>2055</v>
      </c>
      <c r="G465" t="s">
        <v>2056</v>
      </c>
      <c r="H465">
        <v>245817</v>
      </c>
      <c r="I465">
        <v>182</v>
      </c>
      <c r="J465">
        <v>25.1336987</v>
      </c>
      <c r="K465">
        <v>82.564434399999996</v>
      </c>
      <c r="L465">
        <v>86.601730349999997</v>
      </c>
      <c r="M465">
        <f t="shared" si="21"/>
        <v>536.84751973488358</v>
      </c>
      <c r="N465">
        <f t="shared" si="22"/>
        <v>1.9272807947607804E-2</v>
      </c>
      <c r="O465">
        <f t="shared" si="23"/>
        <v>1.6661388465748542E-4</v>
      </c>
    </row>
    <row r="466" spans="1:15" x14ac:dyDescent="0.2">
      <c r="A466">
        <v>465</v>
      </c>
      <c r="B466" t="s">
        <v>2076</v>
      </c>
      <c r="C466" t="s">
        <v>1504</v>
      </c>
      <c r="D466">
        <v>1232</v>
      </c>
      <c r="E466" t="s">
        <v>1427</v>
      </c>
      <c r="F466" t="s">
        <v>2055</v>
      </c>
      <c r="G466" t="s">
        <v>2056</v>
      </c>
      <c r="H466">
        <v>182811</v>
      </c>
      <c r="I466">
        <v>239</v>
      </c>
      <c r="J466">
        <v>28.831630700000002</v>
      </c>
      <c r="K466">
        <v>77.577959199999995</v>
      </c>
      <c r="L466">
        <v>222.1780243</v>
      </c>
      <c r="M466">
        <f t="shared" si="21"/>
        <v>141.0596788451482</v>
      </c>
      <c r="N466">
        <f t="shared" si="22"/>
        <v>-2.2763912950099888E-2</v>
      </c>
      <c r="O466">
        <f t="shared" si="23"/>
        <v>-6.2538251104103789E-4</v>
      </c>
    </row>
    <row r="467" spans="1:15" x14ac:dyDescent="0.2">
      <c r="A467">
        <v>466</v>
      </c>
      <c r="B467" t="s">
        <v>1577</v>
      </c>
      <c r="C467" t="s">
        <v>1577</v>
      </c>
      <c r="D467">
        <v>591</v>
      </c>
      <c r="E467" t="s">
        <v>1427</v>
      </c>
      <c r="F467" t="s">
        <v>2055</v>
      </c>
      <c r="G467" t="s">
        <v>2056</v>
      </c>
      <c r="H467">
        <v>889810</v>
      </c>
      <c r="I467">
        <v>56</v>
      </c>
      <c r="J467">
        <v>28.8386481</v>
      </c>
      <c r="K467">
        <v>78.773328599999999</v>
      </c>
      <c r="L467">
        <v>203.67601010000001</v>
      </c>
      <c r="M467">
        <f t="shared" si="21"/>
        <v>25.121573712321368</v>
      </c>
      <c r="N467">
        <f t="shared" si="22"/>
        <v>-5.4171320856883115E-2</v>
      </c>
      <c r="O467">
        <f t="shared" si="23"/>
        <v>-3.4152843773402881E-3</v>
      </c>
    </row>
    <row r="468" spans="1:15" x14ac:dyDescent="0.2">
      <c r="A468">
        <v>467</v>
      </c>
      <c r="B468" t="s">
        <v>2077</v>
      </c>
      <c r="C468" t="s">
        <v>1443</v>
      </c>
      <c r="D468">
        <v>5462</v>
      </c>
      <c r="E468" t="s">
        <v>1427</v>
      </c>
      <c r="F468" t="s">
        <v>2055</v>
      </c>
      <c r="G468" t="s">
        <v>2056</v>
      </c>
      <c r="H468">
        <v>109539</v>
      </c>
      <c r="I468">
        <v>417</v>
      </c>
      <c r="J468">
        <v>26.080943099999999</v>
      </c>
      <c r="K468">
        <v>83.298757600000002</v>
      </c>
      <c r="L468">
        <v>78.126380920000003</v>
      </c>
      <c r="M468">
        <f t="shared" si="21"/>
        <v>518.18387080510024</v>
      </c>
      <c r="N468">
        <f t="shared" si="22"/>
        <v>2.160255214159364E-2</v>
      </c>
      <c r="O468">
        <f t="shared" si="23"/>
        <v>1.7269579254958404E-4</v>
      </c>
    </row>
    <row r="469" spans="1:15" x14ac:dyDescent="0.2">
      <c r="A469">
        <v>468</v>
      </c>
      <c r="B469" t="s">
        <v>2078</v>
      </c>
      <c r="C469" t="s">
        <v>1479</v>
      </c>
      <c r="D469">
        <v>5412</v>
      </c>
      <c r="E469" t="s">
        <v>1427</v>
      </c>
      <c r="F469" t="s">
        <v>2055</v>
      </c>
      <c r="G469" t="s">
        <v>2056</v>
      </c>
      <c r="H469">
        <v>154692</v>
      </c>
      <c r="I469">
        <v>284</v>
      </c>
      <c r="J469">
        <v>25.2814947</v>
      </c>
      <c r="K469">
        <v>83.119820300000001</v>
      </c>
      <c r="L469">
        <v>83.845260620000005</v>
      </c>
      <c r="M469">
        <f t="shared" si="21"/>
        <v>562.60368653624039</v>
      </c>
      <c r="N469">
        <f t="shared" si="22"/>
        <v>1.8880441725146364E-2</v>
      </c>
      <c r="O469">
        <f t="shared" si="23"/>
        <v>1.5901179079277208E-4</v>
      </c>
    </row>
    <row r="470" spans="1:15" x14ac:dyDescent="0.2">
      <c r="A470">
        <v>469</v>
      </c>
      <c r="B470" t="s">
        <v>2079</v>
      </c>
      <c r="C470" t="s">
        <v>1504</v>
      </c>
      <c r="D470">
        <v>1232</v>
      </c>
      <c r="E470" t="s">
        <v>1427</v>
      </c>
      <c r="F470" t="s">
        <v>2055</v>
      </c>
      <c r="G470" t="s">
        <v>2056</v>
      </c>
      <c r="H470">
        <v>95208</v>
      </c>
      <c r="I470">
        <v>491</v>
      </c>
      <c r="J470">
        <v>28.7703752</v>
      </c>
      <c r="K470">
        <v>77.498875299999995</v>
      </c>
      <c r="L470">
        <v>219.891098</v>
      </c>
      <c r="M470">
        <f t="shared" si="21"/>
        <v>148.74481036535732</v>
      </c>
      <c r="N470">
        <f t="shared" si="22"/>
        <v>-2.0050296966156178E-2</v>
      </c>
      <c r="O470">
        <f t="shared" si="23"/>
        <v>-5.9215225663618299E-4</v>
      </c>
    </row>
    <row r="471" spans="1:15" x14ac:dyDescent="0.2">
      <c r="A471">
        <v>470</v>
      </c>
      <c r="B471" t="s">
        <v>1580</v>
      </c>
      <c r="C471" t="s">
        <v>1580</v>
      </c>
      <c r="D471">
        <v>131</v>
      </c>
      <c r="E471" t="s">
        <v>1427</v>
      </c>
      <c r="F471" t="s">
        <v>2055</v>
      </c>
      <c r="G471" t="s">
        <v>2056</v>
      </c>
      <c r="H471">
        <v>494792</v>
      </c>
      <c r="I471">
        <v>92</v>
      </c>
      <c r="J471">
        <v>29.472681699999999</v>
      </c>
      <c r="K471">
        <v>77.708509100000001</v>
      </c>
      <c r="L471">
        <v>249.21894839999999</v>
      </c>
      <c r="M471">
        <f t="shared" si="21"/>
        <v>148.73904083654193</v>
      </c>
      <c r="N471">
        <f t="shared" si="22"/>
        <v>-3.9768729358020519E-2</v>
      </c>
      <c r="O471">
        <f t="shared" si="23"/>
        <v>-5.985749683947788E-4</v>
      </c>
    </row>
    <row r="472" spans="1:15" x14ac:dyDescent="0.2">
      <c r="A472">
        <v>471</v>
      </c>
      <c r="B472" t="s">
        <v>2080</v>
      </c>
      <c r="C472" t="s">
        <v>1473</v>
      </c>
      <c r="D472">
        <v>1343</v>
      </c>
      <c r="E472" t="s">
        <v>1427</v>
      </c>
      <c r="F472" t="s">
        <v>2055</v>
      </c>
      <c r="G472" t="s">
        <v>2056</v>
      </c>
      <c r="H472">
        <v>95246</v>
      </c>
      <c r="I472">
        <v>489</v>
      </c>
      <c r="J472">
        <v>29.442640900000001</v>
      </c>
      <c r="K472">
        <v>78.4326638</v>
      </c>
      <c r="L472">
        <v>251.79930110000001</v>
      </c>
      <c r="M472">
        <f t="shared" si="21"/>
        <v>92.672244075121768</v>
      </c>
      <c r="N472">
        <f t="shared" si="22"/>
        <v>-6.6613234540817814E-2</v>
      </c>
      <c r="O472">
        <f t="shared" si="23"/>
        <v>-9.6115017310866241E-4</v>
      </c>
    </row>
    <row r="473" spans="1:15" x14ac:dyDescent="0.2">
      <c r="A473">
        <v>472</v>
      </c>
      <c r="B473" t="s">
        <v>2081</v>
      </c>
      <c r="C473" t="s">
        <v>1473</v>
      </c>
      <c r="D473">
        <v>1341</v>
      </c>
      <c r="E473" t="s">
        <v>1427</v>
      </c>
      <c r="F473" t="s">
        <v>2055</v>
      </c>
      <c r="G473" t="s">
        <v>2056</v>
      </c>
      <c r="H473">
        <v>88535</v>
      </c>
      <c r="I473">
        <v>513</v>
      </c>
      <c r="J473">
        <v>29.612778899999999</v>
      </c>
      <c r="K473">
        <v>78.344600299999996</v>
      </c>
      <c r="L473">
        <v>273.14117429999999</v>
      </c>
      <c r="M473">
        <f t="shared" si="21"/>
        <v>112.89437092247792</v>
      </c>
      <c r="N473">
        <f t="shared" si="22"/>
        <v>-7.3585469161296782E-2</v>
      </c>
      <c r="O473">
        <f t="shared" si="23"/>
        <v>-7.9109645297820912E-4</v>
      </c>
    </row>
    <row r="474" spans="1:15" x14ac:dyDescent="0.2">
      <c r="A474">
        <v>473</v>
      </c>
      <c r="B474" t="s">
        <v>2082</v>
      </c>
      <c r="C474" t="s">
        <v>2082</v>
      </c>
      <c r="D474">
        <v>120</v>
      </c>
      <c r="E474" t="s">
        <v>1427</v>
      </c>
      <c r="F474" t="s">
        <v>2055</v>
      </c>
      <c r="G474" t="s">
        <v>2056</v>
      </c>
      <c r="H474">
        <v>259160</v>
      </c>
      <c r="I474">
        <v>174</v>
      </c>
      <c r="J474">
        <v>28.600031999999999</v>
      </c>
      <c r="K474">
        <v>77.351504000000006</v>
      </c>
      <c r="L474">
        <v>204.0539856</v>
      </c>
      <c r="M474">
        <f t="shared" si="21"/>
        <v>164.57645346996088</v>
      </c>
      <c r="N474">
        <f t="shared" si="22"/>
        <v>-8.4985813614903913E-3</v>
      </c>
      <c r="O474">
        <f t="shared" si="23"/>
        <v>-5.2200967397491042E-4</v>
      </c>
    </row>
    <row r="475" spans="1:15" x14ac:dyDescent="0.2">
      <c r="A475">
        <v>474</v>
      </c>
      <c r="B475" t="s">
        <v>2083</v>
      </c>
      <c r="C475" t="s">
        <v>1521</v>
      </c>
      <c r="D475">
        <v>5162</v>
      </c>
      <c r="E475" t="s">
        <v>1427</v>
      </c>
      <c r="F475" t="s">
        <v>2055</v>
      </c>
      <c r="G475" t="s">
        <v>2056</v>
      </c>
      <c r="H475">
        <v>190625</v>
      </c>
      <c r="I475">
        <v>230</v>
      </c>
      <c r="J475">
        <v>26.00864</v>
      </c>
      <c r="K475">
        <v>79.447885799999995</v>
      </c>
      <c r="L475">
        <v>137.43371579999999</v>
      </c>
      <c r="M475">
        <f t="shared" si="21"/>
        <v>312.00107952321918</v>
      </c>
      <c r="N475">
        <f t="shared" si="22"/>
        <v>1.686968714352894E-2</v>
      </c>
      <c r="O475">
        <f t="shared" si="23"/>
        <v>2.8497194049573188E-4</v>
      </c>
    </row>
    <row r="476" spans="1:15" x14ac:dyDescent="0.2">
      <c r="A476">
        <v>475</v>
      </c>
      <c r="B476" t="s">
        <v>1583</v>
      </c>
      <c r="C476" t="s">
        <v>1583</v>
      </c>
      <c r="D476">
        <v>5882</v>
      </c>
      <c r="E476" t="s">
        <v>1427</v>
      </c>
      <c r="F476" t="s">
        <v>2055</v>
      </c>
      <c r="G476" t="s">
        <v>2056</v>
      </c>
      <c r="H476">
        <v>160146</v>
      </c>
      <c r="I476">
        <v>276</v>
      </c>
      <c r="J476">
        <v>28.620793899999999</v>
      </c>
      <c r="K476">
        <v>79.812864899999994</v>
      </c>
      <c r="L476">
        <v>189.05220030000001</v>
      </c>
      <c r="M476">
        <f t="shared" si="21"/>
        <v>79.096049471053192</v>
      </c>
      <c r="N476">
        <f t="shared" si="22"/>
        <v>1.2834035413759781E-3</v>
      </c>
      <c r="O476">
        <f t="shared" si="23"/>
        <v>5.7436421372510983E-4</v>
      </c>
    </row>
    <row r="477" spans="1:15" x14ac:dyDescent="0.2">
      <c r="A477">
        <v>476</v>
      </c>
      <c r="B477" t="s">
        <v>1586</v>
      </c>
      <c r="C477" t="s">
        <v>1586</v>
      </c>
      <c r="D477">
        <v>5342</v>
      </c>
      <c r="E477" t="s">
        <v>1427</v>
      </c>
      <c r="F477" t="s">
        <v>2055</v>
      </c>
      <c r="G477" t="s">
        <v>2056</v>
      </c>
      <c r="H477">
        <v>90334</v>
      </c>
      <c r="I477">
        <v>511</v>
      </c>
      <c r="J477">
        <v>25.8973038</v>
      </c>
      <c r="K477">
        <v>81.945298100000002</v>
      </c>
      <c r="L477">
        <v>96.013458249999999</v>
      </c>
      <c r="M477">
        <f t="shared" si="21"/>
        <v>431.94492946791735</v>
      </c>
      <c r="N477">
        <f t="shared" si="22"/>
        <v>2.1774503445580056E-2</v>
      </c>
      <c r="O477">
        <f t="shared" si="23"/>
        <v>2.0694962796398962E-4</v>
      </c>
    </row>
    <row r="478" spans="1:15" x14ac:dyDescent="0.2">
      <c r="A478">
        <v>477</v>
      </c>
      <c r="B478" t="s">
        <v>2084</v>
      </c>
      <c r="C478" t="s">
        <v>2084</v>
      </c>
      <c r="D478">
        <v>535</v>
      </c>
      <c r="E478" t="s">
        <v>1427</v>
      </c>
      <c r="F478" t="s">
        <v>2055</v>
      </c>
      <c r="G478" t="s">
        <v>2056</v>
      </c>
      <c r="H478">
        <v>191625</v>
      </c>
      <c r="I478">
        <v>228</v>
      </c>
      <c r="J478">
        <v>26.234529800000001</v>
      </c>
      <c r="K478">
        <v>81.240868899999995</v>
      </c>
      <c r="L478">
        <v>115.0805283</v>
      </c>
      <c r="M478">
        <f t="shared" si="21"/>
        <v>358.38815357115624</v>
      </c>
      <c r="N478">
        <f t="shared" si="22"/>
        <v>2.092334602938033E-2</v>
      </c>
      <c r="O478">
        <f t="shared" si="23"/>
        <v>2.4899251308895659E-4</v>
      </c>
    </row>
    <row r="479" spans="1:15" x14ac:dyDescent="0.2">
      <c r="A479">
        <v>478</v>
      </c>
      <c r="B479" t="s">
        <v>1592</v>
      </c>
      <c r="C479" t="s">
        <v>1592</v>
      </c>
      <c r="D479">
        <v>595</v>
      </c>
      <c r="E479" t="s">
        <v>1427</v>
      </c>
      <c r="F479" t="s">
        <v>2055</v>
      </c>
      <c r="G479" t="s">
        <v>2056</v>
      </c>
      <c r="H479">
        <v>359062</v>
      </c>
      <c r="I479">
        <v>123</v>
      </c>
      <c r="J479">
        <v>28.789304099999999</v>
      </c>
      <c r="K479">
        <v>79.024951599999994</v>
      </c>
      <c r="L479">
        <v>190.0673218</v>
      </c>
      <c r="M479">
        <f t="shared" si="21"/>
        <v>0</v>
      </c>
      <c r="N479" t="e">
        <f t="shared" si="22"/>
        <v>#DIV/0!</v>
      </c>
      <c r="O479" t="e">
        <f t="shared" si="23"/>
        <v>#DIV/0!</v>
      </c>
    </row>
    <row r="480" spans="1:15" x14ac:dyDescent="0.2">
      <c r="A480">
        <v>479</v>
      </c>
      <c r="B480" t="s">
        <v>1595</v>
      </c>
      <c r="C480" t="s">
        <v>1595</v>
      </c>
      <c r="D480">
        <v>132</v>
      </c>
      <c r="E480" t="s">
        <v>1427</v>
      </c>
      <c r="F480" t="s">
        <v>2055</v>
      </c>
      <c r="G480" t="s">
        <v>2056</v>
      </c>
      <c r="H480">
        <v>703345</v>
      </c>
      <c r="I480">
        <v>64</v>
      </c>
      <c r="J480">
        <v>29.967078999999998</v>
      </c>
      <c r="K480">
        <v>77.551017200000004</v>
      </c>
      <c r="L480">
        <v>277.2987061</v>
      </c>
      <c r="M480">
        <f t="shared" si="21"/>
        <v>193.76874266571227</v>
      </c>
      <c r="N480">
        <f t="shared" si="22"/>
        <v>-4.501829505623136E-2</v>
      </c>
      <c r="O480">
        <f t="shared" si="23"/>
        <v>-4.6108160815271868E-4</v>
      </c>
    </row>
    <row r="481" spans="1:15" x14ac:dyDescent="0.2">
      <c r="A481">
        <v>480</v>
      </c>
      <c r="B481" t="s">
        <v>2085</v>
      </c>
      <c r="C481" t="s">
        <v>2064</v>
      </c>
      <c r="D481">
        <v>5833</v>
      </c>
      <c r="E481" t="s">
        <v>1427</v>
      </c>
      <c r="F481" t="s">
        <v>2055</v>
      </c>
      <c r="G481" t="s">
        <v>2056</v>
      </c>
      <c r="H481">
        <v>114921</v>
      </c>
      <c r="I481">
        <v>394</v>
      </c>
      <c r="J481">
        <v>28.072471199999999</v>
      </c>
      <c r="K481">
        <v>78.756122199999993</v>
      </c>
      <c r="L481">
        <v>173.45870969999999</v>
      </c>
      <c r="M481">
        <f t="shared" si="21"/>
        <v>83.930886384763824</v>
      </c>
      <c r="N481">
        <f t="shared" si="22"/>
        <v>1.9788438816029253E-2</v>
      </c>
      <c r="O481">
        <f t="shared" si="23"/>
        <v>1.0312579808173762E-3</v>
      </c>
    </row>
    <row r="482" spans="1:15" x14ac:dyDescent="0.2">
      <c r="A482">
        <v>481</v>
      </c>
      <c r="B482" t="s">
        <v>2066</v>
      </c>
      <c r="C482" t="s">
        <v>2066</v>
      </c>
      <c r="D482">
        <v>5923</v>
      </c>
      <c r="E482" t="s">
        <v>1427</v>
      </c>
      <c r="F482" t="s">
        <v>2055</v>
      </c>
      <c r="G482" t="s">
        <v>2056</v>
      </c>
      <c r="H482">
        <v>221334</v>
      </c>
      <c r="I482">
        <v>198</v>
      </c>
      <c r="J482">
        <v>28.590361399999999</v>
      </c>
      <c r="K482">
        <v>78.571763099999998</v>
      </c>
      <c r="L482">
        <v>202.95904540000001</v>
      </c>
      <c r="M482">
        <f t="shared" si="21"/>
        <v>49.431696451535146</v>
      </c>
      <c r="N482">
        <f t="shared" si="22"/>
        <v>-2.6079872886093598E-2</v>
      </c>
      <c r="O482">
        <f t="shared" si="23"/>
        <v>-1.7309642048024387E-3</v>
      </c>
    </row>
    <row r="483" spans="1:15" x14ac:dyDescent="0.2">
      <c r="A483">
        <v>482</v>
      </c>
      <c r="B483" t="s">
        <v>1603</v>
      </c>
      <c r="C483" t="s">
        <v>1603</v>
      </c>
      <c r="D483">
        <v>5842</v>
      </c>
      <c r="E483" t="s">
        <v>1427</v>
      </c>
      <c r="F483" t="s">
        <v>2055</v>
      </c>
      <c r="G483" t="s">
        <v>2056</v>
      </c>
      <c r="H483">
        <v>356103</v>
      </c>
      <c r="I483">
        <v>124</v>
      </c>
      <c r="J483">
        <v>27.883744</v>
      </c>
      <c r="K483">
        <v>79.912245499999997</v>
      </c>
      <c r="L483">
        <v>159.6863251</v>
      </c>
      <c r="M483">
        <f t="shared" si="21"/>
        <v>132.96666663527557</v>
      </c>
      <c r="N483">
        <f t="shared" si="22"/>
        <v>2.2848581128482637E-2</v>
      </c>
      <c r="O483">
        <f t="shared" si="23"/>
        <v>6.6268316997176535E-4</v>
      </c>
    </row>
    <row r="484" spans="1:15" x14ac:dyDescent="0.2">
      <c r="A484">
        <v>483</v>
      </c>
      <c r="B484" t="s">
        <v>2086</v>
      </c>
      <c r="C484" t="s">
        <v>2086</v>
      </c>
      <c r="D484">
        <v>1398</v>
      </c>
      <c r="E484" t="s">
        <v>1427</v>
      </c>
      <c r="F484" t="s">
        <v>2055</v>
      </c>
      <c r="G484" t="s">
        <v>2056</v>
      </c>
      <c r="H484">
        <v>107233</v>
      </c>
      <c r="I484">
        <v>426</v>
      </c>
      <c r="J484">
        <v>29.450757500000002</v>
      </c>
      <c r="K484">
        <v>77.315211599999998</v>
      </c>
      <c r="L484">
        <v>246.33636469999999</v>
      </c>
      <c r="M484">
        <f t="shared" si="21"/>
        <v>181.63859533464435</v>
      </c>
      <c r="N484">
        <f t="shared" si="22"/>
        <v>-3.0978571925384002E-2</v>
      </c>
      <c r="O484">
        <f t="shared" si="23"/>
        <v>-4.8988410253469276E-4</v>
      </c>
    </row>
    <row r="485" spans="1:15" x14ac:dyDescent="0.2">
      <c r="A485">
        <v>484</v>
      </c>
      <c r="B485" t="s">
        <v>2087</v>
      </c>
      <c r="C485" t="s">
        <v>1498</v>
      </c>
      <c r="D485">
        <v>5676</v>
      </c>
      <c r="E485" t="s">
        <v>1427</v>
      </c>
      <c r="F485" t="s">
        <v>2055</v>
      </c>
      <c r="G485" t="s">
        <v>2056</v>
      </c>
      <c r="H485">
        <v>107300</v>
      </c>
      <c r="I485">
        <v>425</v>
      </c>
      <c r="J485">
        <v>27.110254000000001</v>
      </c>
      <c r="K485">
        <v>78.573784000000003</v>
      </c>
      <c r="L485">
        <v>165.95498660000001</v>
      </c>
      <c r="M485">
        <f t="shared" si="21"/>
        <v>191.88856951878432</v>
      </c>
      <c r="N485">
        <f t="shared" si="22"/>
        <v>1.2565800693844657E-2</v>
      </c>
      <c r="O485">
        <f t="shared" si="23"/>
        <v>4.5664605835271383E-4</v>
      </c>
    </row>
    <row r="486" spans="1:15" x14ac:dyDescent="0.2">
      <c r="A486">
        <v>485</v>
      </c>
      <c r="B486" t="s">
        <v>1611</v>
      </c>
      <c r="C486" t="s">
        <v>1611</v>
      </c>
      <c r="D486">
        <v>5862</v>
      </c>
      <c r="E486" t="s">
        <v>1427</v>
      </c>
      <c r="F486" t="s">
        <v>2055</v>
      </c>
      <c r="G486" t="s">
        <v>2056</v>
      </c>
      <c r="H486">
        <v>188230</v>
      </c>
      <c r="I486">
        <v>233</v>
      </c>
      <c r="J486">
        <v>27.561892</v>
      </c>
      <c r="K486">
        <v>80.688511000000005</v>
      </c>
      <c r="L486">
        <v>143.34597780000001</v>
      </c>
      <c r="M486">
        <f t="shared" si="21"/>
        <v>212.63500489252334</v>
      </c>
      <c r="N486">
        <f t="shared" si="22"/>
        <v>2.197255528252056E-2</v>
      </c>
      <c r="O486">
        <f t="shared" si="23"/>
        <v>4.1749408754303784E-4</v>
      </c>
    </row>
    <row r="487" spans="1:15" x14ac:dyDescent="0.2">
      <c r="A487">
        <v>486</v>
      </c>
      <c r="B487" t="s">
        <v>1617</v>
      </c>
      <c r="C487" t="s">
        <v>1617</v>
      </c>
      <c r="D487">
        <v>5362</v>
      </c>
      <c r="E487" t="s">
        <v>1427</v>
      </c>
      <c r="F487" t="s">
        <v>2055</v>
      </c>
      <c r="G487" t="s">
        <v>2056</v>
      </c>
      <c r="H487">
        <v>116211</v>
      </c>
      <c r="I487">
        <v>391</v>
      </c>
      <c r="J487">
        <v>26.264775700000001</v>
      </c>
      <c r="K487">
        <v>82.072706100000005</v>
      </c>
      <c r="L487">
        <v>100.0650177</v>
      </c>
      <c r="M487">
        <f t="shared" si="21"/>
        <v>411.20272930420236</v>
      </c>
      <c r="N487">
        <f t="shared" si="22"/>
        <v>2.1887574591806146E-2</v>
      </c>
      <c r="O487">
        <f t="shared" si="23"/>
        <v>2.1732205637592242E-4</v>
      </c>
    </row>
    <row r="488" spans="1:15" x14ac:dyDescent="0.2">
      <c r="A488">
        <v>487</v>
      </c>
      <c r="B488" t="s">
        <v>2088</v>
      </c>
      <c r="C488" t="s">
        <v>1437</v>
      </c>
      <c r="D488">
        <v>5273</v>
      </c>
      <c r="E488" t="s">
        <v>1427</v>
      </c>
      <c r="F488" t="s">
        <v>2055</v>
      </c>
      <c r="G488" t="s">
        <v>2056</v>
      </c>
      <c r="H488">
        <v>109539</v>
      </c>
      <c r="I488">
        <v>418</v>
      </c>
      <c r="J488">
        <v>26.543264700000002</v>
      </c>
      <c r="K488">
        <v>82.664546900000005</v>
      </c>
      <c r="L488">
        <v>89.568992609999995</v>
      </c>
      <c r="M488">
        <f t="shared" si="21"/>
        <v>436.81730426821366</v>
      </c>
      <c r="N488">
        <f t="shared" si="22"/>
        <v>2.3006947803581569E-2</v>
      </c>
      <c r="O488">
        <f t="shared" si="23"/>
        <v>2.0473067619787173E-4</v>
      </c>
    </row>
    <row r="489" spans="1:15" x14ac:dyDescent="0.2">
      <c r="A489">
        <v>488</v>
      </c>
      <c r="B489" t="s">
        <v>2089</v>
      </c>
      <c r="C489" t="s">
        <v>2064</v>
      </c>
      <c r="D489">
        <v>5832</v>
      </c>
      <c r="E489" t="s">
        <v>1427</v>
      </c>
      <c r="F489" t="s">
        <v>2055</v>
      </c>
      <c r="G489" t="s">
        <v>2056</v>
      </c>
      <c r="H489">
        <v>126000</v>
      </c>
      <c r="I489">
        <v>361</v>
      </c>
      <c r="J489">
        <v>28.0003235</v>
      </c>
      <c r="K489">
        <v>79.005168499999996</v>
      </c>
      <c r="L489">
        <v>171.61605829999999</v>
      </c>
      <c r="M489">
        <f t="shared" si="21"/>
        <v>87.751978867178863</v>
      </c>
      <c r="N489">
        <f t="shared" si="22"/>
        <v>2.1026606736615921E-2</v>
      </c>
      <c r="O489">
        <f t="shared" si="23"/>
        <v>9.9026582045990503E-4</v>
      </c>
    </row>
    <row r="490" spans="1:15" x14ac:dyDescent="0.2">
      <c r="A490">
        <v>489</v>
      </c>
      <c r="B490" t="s">
        <v>1619</v>
      </c>
      <c r="C490" t="s">
        <v>1619</v>
      </c>
      <c r="D490">
        <v>515</v>
      </c>
      <c r="E490" t="s">
        <v>1427</v>
      </c>
      <c r="F490" t="s">
        <v>2055</v>
      </c>
      <c r="G490" t="s">
        <v>2056</v>
      </c>
      <c r="H490">
        <v>178681</v>
      </c>
      <c r="I490">
        <v>243</v>
      </c>
      <c r="J490">
        <v>26.5393449</v>
      </c>
      <c r="K490">
        <v>80.487819500000001</v>
      </c>
      <c r="L490">
        <v>127.08445740000001</v>
      </c>
      <c r="M490">
        <f t="shared" si="21"/>
        <v>288.69120959032966</v>
      </c>
      <c r="N490">
        <f t="shared" si="22"/>
        <v>2.1816689357939404E-2</v>
      </c>
      <c r="O490">
        <f t="shared" si="23"/>
        <v>3.0860091758868534E-4</v>
      </c>
    </row>
    <row r="491" spans="1:15" x14ac:dyDescent="0.2">
      <c r="A491">
        <v>490</v>
      </c>
      <c r="B491" t="s">
        <v>1621</v>
      </c>
      <c r="C491" t="s">
        <v>1621</v>
      </c>
      <c r="D491">
        <v>542</v>
      </c>
      <c r="E491" t="s">
        <v>1427</v>
      </c>
      <c r="F491" t="s">
        <v>2055</v>
      </c>
      <c r="G491" t="s">
        <v>2056</v>
      </c>
      <c r="H491">
        <v>1435113</v>
      </c>
      <c r="I491">
        <v>26</v>
      </c>
      <c r="J491">
        <v>25.317645200000001</v>
      </c>
      <c r="K491">
        <v>82.973914399999998</v>
      </c>
      <c r="L491">
        <v>80.985557560000004</v>
      </c>
      <c r="M491">
        <f t="shared" si="21"/>
        <v>549.40960317218605</v>
      </c>
      <c r="N491">
        <f t="shared" si="22"/>
        <v>1.9854360682846229E-2</v>
      </c>
      <c r="O491">
        <f t="shared" si="23"/>
        <v>1.6285619846090191E-4</v>
      </c>
    </row>
    <row r="492" spans="1:15" x14ac:dyDescent="0.2">
      <c r="A492">
        <v>491</v>
      </c>
      <c r="B492" t="s">
        <v>2090</v>
      </c>
      <c r="C492" t="s">
        <v>2090</v>
      </c>
      <c r="D492">
        <v>135</v>
      </c>
      <c r="E492" t="s">
        <v>2091</v>
      </c>
      <c r="F492" t="s">
        <v>2092</v>
      </c>
      <c r="G492" t="s">
        <v>2093</v>
      </c>
      <c r="H492">
        <v>714223</v>
      </c>
      <c r="I492">
        <v>62</v>
      </c>
      <c r="J492">
        <v>30.316494500000001</v>
      </c>
      <c r="K492">
        <v>78.032191800000007</v>
      </c>
      <c r="L492">
        <v>652.17309569999998</v>
      </c>
      <c r="M492">
        <f t="shared" si="21"/>
        <v>195.0838345839343</v>
      </c>
      <c r="N492">
        <f t="shared" si="22"/>
        <v>-0.23687548221796931</v>
      </c>
      <c r="O492">
        <f t="shared" si="23"/>
        <v>-4.607045577781495E-4</v>
      </c>
    </row>
    <row r="493" spans="1:15" x14ac:dyDescent="0.2">
      <c r="A493">
        <v>492</v>
      </c>
      <c r="B493" t="s">
        <v>2094</v>
      </c>
      <c r="C493" t="s">
        <v>2095</v>
      </c>
      <c r="D493">
        <v>5946</v>
      </c>
      <c r="E493" t="s">
        <v>2091</v>
      </c>
      <c r="F493" t="s">
        <v>2092</v>
      </c>
      <c r="G493" t="s">
        <v>2093</v>
      </c>
      <c r="H493">
        <v>252060</v>
      </c>
      <c r="I493">
        <v>176</v>
      </c>
      <c r="J493">
        <v>29.218264399999999</v>
      </c>
      <c r="K493">
        <v>79.512976699999996</v>
      </c>
      <c r="L493">
        <v>433.3934021</v>
      </c>
      <c r="M493">
        <f t="shared" si="21"/>
        <v>67.287264096607359</v>
      </c>
      <c r="N493">
        <f t="shared" si="22"/>
        <v>-0.3616227878587035</v>
      </c>
      <c r="O493">
        <f t="shared" si="23"/>
        <v>-1.3340493688458557E-3</v>
      </c>
    </row>
    <row r="494" spans="1:15" x14ac:dyDescent="0.2">
      <c r="A494">
        <v>493</v>
      </c>
      <c r="B494" t="s">
        <v>1639</v>
      </c>
      <c r="C494" t="s">
        <v>1639</v>
      </c>
      <c r="D494">
        <v>1334</v>
      </c>
      <c r="E494" t="s">
        <v>2091</v>
      </c>
      <c r="F494" t="s">
        <v>2092</v>
      </c>
      <c r="G494" t="s">
        <v>2093</v>
      </c>
      <c r="H494">
        <v>310582</v>
      </c>
      <c r="I494">
        <v>144</v>
      </c>
      <c r="J494">
        <v>29.945690599999999</v>
      </c>
      <c r="K494">
        <v>78.164247799999998</v>
      </c>
      <c r="L494">
        <v>288.74572749999999</v>
      </c>
      <c r="M494">
        <f t="shared" si="21"/>
        <v>153.26496821872911</v>
      </c>
      <c r="N494">
        <f t="shared" si="22"/>
        <v>-6.4384188276588442E-2</v>
      </c>
      <c r="O494">
        <f t="shared" si="23"/>
        <v>-5.8343005272411372E-4</v>
      </c>
    </row>
    <row r="495" spans="1:15" x14ac:dyDescent="0.2">
      <c r="A495">
        <v>494</v>
      </c>
      <c r="B495" t="s">
        <v>2096</v>
      </c>
      <c r="C495" t="s">
        <v>1656</v>
      </c>
      <c r="D495">
        <v>5947</v>
      </c>
      <c r="E495" t="s">
        <v>2091</v>
      </c>
      <c r="F495" t="s">
        <v>2092</v>
      </c>
      <c r="G495" t="s">
        <v>2093</v>
      </c>
      <c r="H495">
        <v>121610</v>
      </c>
      <c r="I495">
        <v>370</v>
      </c>
      <c r="J495">
        <v>29.210423200000001</v>
      </c>
      <c r="K495">
        <v>78.961884499999996</v>
      </c>
      <c r="L495">
        <v>236.8998871</v>
      </c>
      <c r="M495">
        <f t="shared" si="21"/>
        <v>47.226289731104202</v>
      </c>
      <c r="N495">
        <f t="shared" si="22"/>
        <v>-9.9166302427427647E-2</v>
      </c>
      <c r="O495">
        <f t="shared" si="23"/>
        <v>-1.8798167058555481E-3</v>
      </c>
    </row>
    <row r="496" spans="1:15" x14ac:dyDescent="0.2">
      <c r="A496">
        <v>495</v>
      </c>
      <c r="B496" t="s">
        <v>2097</v>
      </c>
      <c r="C496" t="s">
        <v>2090</v>
      </c>
      <c r="D496">
        <v>135</v>
      </c>
      <c r="E496" t="s">
        <v>2091</v>
      </c>
      <c r="F496" t="s">
        <v>2092</v>
      </c>
      <c r="G496" t="s">
        <v>2093</v>
      </c>
      <c r="H496">
        <v>102138</v>
      </c>
      <c r="I496">
        <v>451</v>
      </c>
      <c r="J496">
        <v>30.086928100000002</v>
      </c>
      <c r="K496">
        <v>78.267611599999995</v>
      </c>
      <c r="L496">
        <v>359.1828003</v>
      </c>
      <c r="M496">
        <f t="shared" si="21"/>
        <v>161.85667258773515</v>
      </c>
      <c r="N496">
        <f t="shared" si="22"/>
        <v>-0.104484712181594</v>
      </c>
      <c r="O496">
        <f t="shared" si="23"/>
        <v>-5.5395434575173871E-4</v>
      </c>
    </row>
    <row r="497" spans="1:15" x14ac:dyDescent="0.2">
      <c r="A497">
        <v>496</v>
      </c>
      <c r="B497" t="s">
        <v>2098</v>
      </c>
      <c r="C497" t="s">
        <v>1639</v>
      </c>
      <c r="D497">
        <v>1332</v>
      </c>
      <c r="E497" t="s">
        <v>2091</v>
      </c>
      <c r="F497" t="s">
        <v>2092</v>
      </c>
      <c r="G497" t="s">
        <v>2093</v>
      </c>
      <c r="H497">
        <v>275502</v>
      </c>
      <c r="I497">
        <v>164</v>
      </c>
      <c r="J497">
        <v>29.854262599999998</v>
      </c>
      <c r="K497">
        <v>77.888000199999993</v>
      </c>
      <c r="L497">
        <v>275.7794189</v>
      </c>
      <c r="M497">
        <f t="shared" si="21"/>
        <v>161.77723967359125</v>
      </c>
      <c r="N497">
        <f t="shared" si="22"/>
        <v>-5.2981554928824615E-2</v>
      </c>
      <c r="O497">
        <f t="shared" si="23"/>
        <v>-5.521886927877626E-4</v>
      </c>
    </row>
    <row r="498" spans="1:15" x14ac:dyDescent="0.2">
      <c r="A498">
        <v>497</v>
      </c>
      <c r="B498" t="s">
        <v>2099</v>
      </c>
      <c r="C498" t="s">
        <v>1656</v>
      </c>
      <c r="D498">
        <v>5944</v>
      </c>
      <c r="E498" t="s">
        <v>2091</v>
      </c>
      <c r="F498" t="s">
        <v>2092</v>
      </c>
      <c r="G498" t="s">
        <v>2093</v>
      </c>
      <c r="H498">
        <v>154485</v>
      </c>
      <c r="I498">
        <v>286</v>
      </c>
      <c r="J498">
        <v>28.987508200000001</v>
      </c>
      <c r="K498">
        <v>79.414121399999999</v>
      </c>
      <c r="L498">
        <v>218.97665409999999</v>
      </c>
      <c r="M498">
        <f t="shared" si="21"/>
        <v>43.832516357230219</v>
      </c>
      <c r="N498">
        <f t="shared" si="22"/>
        <v>-6.5954078621432752E-2</v>
      </c>
      <c r="O498">
        <f t="shared" si="23"/>
        <v>-2.0080726431009692E-3</v>
      </c>
    </row>
    <row r="499" spans="1:15" x14ac:dyDescent="0.2">
      <c r="A499">
        <v>498</v>
      </c>
      <c r="B499" t="s">
        <v>2100</v>
      </c>
      <c r="C499" t="s">
        <v>2100</v>
      </c>
      <c r="D499">
        <v>3564</v>
      </c>
      <c r="E499" t="s">
        <v>1662</v>
      </c>
      <c r="F499" t="s">
        <v>2101</v>
      </c>
      <c r="G499" t="s">
        <v>2102</v>
      </c>
      <c r="H499">
        <v>127342</v>
      </c>
      <c r="I499">
        <v>357</v>
      </c>
      <c r="J499">
        <v>26.491889100000002</v>
      </c>
      <c r="K499">
        <v>89.527102600000006</v>
      </c>
      <c r="L499">
        <v>51.527915950000001</v>
      </c>
      <c r="M499">
        <f t="shared" si="21"/>
        <v>1065.1611482352762</v>
      </c>
      <c r="N499">
        <f t="shared" si="22"/>
        <v>1.3006426875363181E-2</v>
      </c>
      <c r="O499">
        <f t="shared" si="23"/>
        <v>8.410599378373683E-5</v>
      </c>
    </row>
    <row r="500" spans="1:15" x14ac:dyDescent="0.2">
      <c r="A500">
        <v>499</v>
      </c>
      <c r="B500" t="s">
        <v>2103</v>
      </c>
      <c r="C500" t="s">
        <v>2104</v>
      </c>
      <c r="D500">
        <v>341</v>
      </c>
      <c r="E500" t="s">
        <v>1662</v>
      </c>
      <c r="F500" t="s">
        <v>2101</v>
      </c>
      <c r="G500" t="s">
        <v>2102</v>
      </c>
      <c r="H500">
        <v>1243008</v>
      </c>
      <c r="I500">
        <v>32</v>
      </c>
      <c r="J500">
        <v>23.673945199999999</v>
      </c>
      <c r="K500">
        <v>86.9523954</v>
      </c>
      <c r="L500">
        <v>121.2698441</v>
      </c>
      <c r="M500">
        <f t="shared" si="21"/>
        <v>973.57364832465032</v>
      </c>
      <c r="N500">
        <f t="shared" si="22"/>
        <v>7.0664893013885916E-3</v>
      </c>
      <c r="O500">
        <f t="shared" si="23"/>
        <v>9.1587565843629306E-5</v>
      </c>
    </row>
    <row r="501" spans="1:15" x14ac:dyDescent="0.2">
      <c r="A501">
        <v>500</v>
      </c>
      <c r="B501" t="s">
        <v>2105</v>
      </c>
      <c r="C501" t="s">
        <v>1695</v>
      </c>
      <c r="D501">
        <v>3482</v>
      </c>
      <c r="E501" t="s">
        <v>1662</v>
      </c>
      <c r="F501" t="s">
        <v>2101</v>
      </c>
      <c r="G501" t="s">
        <v>2102</v>
      </c>
      <c r="H501">
        <v>305609</v>
      </c>
      <c r="I501">
        <v>148</v>
      </c>
      <c r="J501">
        <v>24.164895000000001</v>
      </c>
      <c r="K501">
        <v>88.274906000000001</v>
      </c>
      <c r="L501">
        <v>22.35816574</v>
      </c>
      <c r="M501">
        <f t="shared" si="21"/>
        <v>1053.9778600795626</v>
      </c>
      <c r="N501">
        <f t="shared" si="22"/>
        <v>1.5912018877449665E-2</v>
      </c>
      <c r="O501">
        <f t="shared" si="23"/>
        <v>8.5066650534124834E-5</v>
      </c>
    </row>
    <row r="502" spans="1:15" x14ac:dyDescent="0.2">
      <c r="A502">
        <v>501</v>
      </c>
      <c r="B502" t="s">
        <v>2106</v>
      </c>
      <c r="C502" t="s">
        <v>1670</v>
      </c>
      <c r="D502">
        <v>3522</v>
      </c>
      <c r="E502" t="s">
        <v>1662</v>
      </c>
      <c r="F502" t="s">
        <v>2101</v>
      </c>
      <c r="G502" t="s">
        <v>2102</v>
      </c>
      <c r="H502">
        <v>164593</v>
      </c>
      <c r="I502">
        <v>267</v>
      </c>
      <c r="J502">
        <v>25.237283399999999</v>
      </c>
      <c r="K502">
        <v>88.783061200000006</v>
      </c>
      <c r="L502">
        <v>29.95094872</v>
      </c>
      <c r="M502">
        <f t="shared" si="21"/>
        <v>1043.7710352570562</v>
      </c>
      <c r="N502">
        <f t="shared" si="22"/>
        <v>1.534018167505167E-2</v>
      </c>
      <c r="O502">
        <f t="shared" si="23"/>
        <v>8.5882979379321025E-5</v>
      </c>
    </row>
    <row r="503" spans="1:15" x14ac:dyDescent="0.2">
      <c r="A503">
        <v>502</v>
      </c>
      <c r="B503" t="s">
        <v>2107</v>
      </c>
      <c r="C503" t="s">
        <v>1701</v>
      </c>
      <c r="D503">
        <v>3215</v>
      </c>
      <c r="E503" t="s">
        <v>1662</v>
      </c>
      <c r="F503" t="s">
        <v>2101</v>
      </c>
      <c r="G503" t="s">
        <v>2102</v>
      </c>
      <c r="H503">
        <v>110668</v>
      </c>
      <c r="I503">
        <v>413</v>
      </c>
      <c r="J503">
        <v>23.044038100000002</v>
      </c>
      <c r="K503">
        <v>88.827703</v>
      </c>
      <c r="L503">
        <v>14.77509594</v>
      </c>
      <c r="M503">
        <f t="shared" si="21"/>
        <v>1169.3880597022146</v>
      </c>
      <c r="N503">
        <f t="shared" si="22"/>
        <v>1.4990081727415472E-2</v>
      </c>
      <c r="O503">
        <f t="shared" si="23"/>
        <v>7.6683821214190492E-5</v>
      </c>
    </row>
    <row r="504" spans="1:15" x14ac:dyDescent="0.2">
      <c r="A504">
        <v>503</v>
      </c>
      <c r="B504" t="s">
        <v>1663</v>
      </c>
      <c r="C504" t="s">
        <v>1663</v>
      </c>
      <c r="D504">
        <v>3242</v>
      </c>
      <c r="E504" t="s">
        <v>1662</v>
      </c>
      <c r="F504" t="s">
        <v>2101</v>
      </c>
      <c r="G504" t="s">
        <v>2102</v>
      </c>
      <c r="H504">
        <v>138036</v>
      </c>
      <c r="I504">
        <v>330</v>
      </c>
      <c r="J504">
        <v>23.232414599999998</v>
      </c>
      <c r="K504">
        <v>87.078604400000003</v>
      </c>
      <c r="L504">
        <v>87.934638980000003</v>
      </c>
      <c r="M504">
        <f t="shared" si="21"/>
        <v>1014.1272075301313</v>
      </c>
      <c r="N504">
        <f t="shared" si="22"/>
        <v>1.0070993270039595E-2</v>
      </c>
      <c r="O504">
        <f t="shared" si="23"/>
        <v>8.8193102088618877E-5</v>
      </c>
    </row>
    <row r="505" spans="1:15" x14ac:dyDescent="0.2">
      <c r="A505">
        <v>504</v>
      </c>
      <c r="B505" t="s">
        <v>2104</v>
      </c>
      <c r="C505" t="s">
        <v>2104</v>
      </c>
      <c r="D505">
        <v>342</v>
      </c>
      <c r="E505" t="s">
        <v>1662</v>
      </c>
      <c r="F505" t="s">
        <v>2101</v>
      </c>
      <c r="G505" t="s">
        <v>2102</v>
      </c>
      <c r="H505">
        <v>347016</v>
      </c>
      <c r="I505">
        <v>128</v>
      </c>
      <c r="J505">
        <v>23.2324214</v>
      </c>
      <c r="K505">
        <v>87.861479299999999</v>
      </c>
      <c r="L505">
        <v>37.631385799999997</v>
      </c>
      <c r="M505">
        <f t="shared" si="21"/>
        <v>1077.1408616829149</v>
      </c>
      <c r="N505">
        <f t="shared" si="22"/>
        <v>1.4151903564575156E-2</v>
      </c>
      <c r="O505">
        <f t="shared" si="23"/>
        <v>8.3205586800477946E-5</v>
      </c>
    </row>
    <row r="506" spans="1:15" x14ac:dyDescent="0.2">
      <c r="A506">
        <v>505</v>
      </c>
      <c r="B506" t="s">
        <v>2108</v>
      </c>
      <c r="C506" t="s">
        <v>1701</v>
      </c>
      <c r="D506">
        <v>3217</v>
      </c>
      <c r="E506" t="s">
        <v>1662</v>
      </c>
      <c r="F506" t="s">
        <v>2101</v>
      </c>
      <c r="G506" t="s">
        <v>2102</v>
      </c>
      <c r="H506">
        <v>144891</v>
      </c>
      <c r="I506">
        <v>310</v>
      </c>
      <c r="J506">
        <v>22.657401700000001</v>
      </c>
      <c r="K506">
        <v>88.867176599999993</v>
      </c>
      <c r="L506">
        <v>12.76715946</v>
      </c>
      <c r="M506">
        <f t="shared" si="21"/>
        <v>1197.90301439819</v>
      </c>
      <c r="N506">
        <f t="shared" si="22"/>
        <v>1.4800877884848899E-2</v>
      </c>
      <c r="O506">
        <f t="shared" si="23"/>
        <v>7.4861525014780742E-5</v>
      </c>
    </row>
    <row r="507" spans="1:15" x14ac:dyDescent="0.2">
      <c r="A507">
        <v>506</v>
      </c>
      <c r="B507" t="s">
        <v>2109</v>
      </c>
      <c r="C507" t="s">
        <v>1668</v>
      </c>
      <c r="D507">
        <v>3463</v>
      </c>
      <c r="E507" t="s">
        <v>1662</v>
      </c>
      <c r="F507" t="s">
        <v>2101</v>
      </c>
      <c r="G507" t="s">
        <v>2102</v>
      </c>
      <c r="H507">
        <v>92370</v>
      </c>
      <c r="I507">
        <v>503</v>
      </c>
      <c r="J507">
        <v>23.668689199999999</v>
      </c>
      <c r="K507">
        <v>87.682767600000005</v>
      </c>
      <c r="L507">
        <v>51.02700806</v>
      </c>
      <c r="M507">
        <f t="shared" si="21"/>
        <v>1033.8448778902125</v>
      </c>
      <c r="N507">
        <f t="shared" si="22"/>
        <v>1.3448856469042269E-2</v>
      </c>
      <c r="O507">
        <f t="shared" si="23"/>
        <v>8.6655095636420444E-5</v>
      </c>
    </row>
    <row r="508" spans="1:15" x14ac:dyDescent="0.2">
      <c r="A508">
        <v>507</v>
      </c>
      <c r="B508" t="s">
        <v>2110</v>
      </c>
      <c r="C508" t="s">
        <v>1698</v>
      </c>
      <c r="D508">
        <v>3473</v>
      </c>
      <c r="E508" t="s">
        <v>1662</v>
      </c>
      <c r="F508" t="s">
        <v>2101</v>
      </c>
      <c r="G508" t="s">
        <v>2102</v>
      </c>
      <c r="H508">
        <v>132855</v>
      </c>
      <c r="I508">
        <v>342</v>
      </c>
      <c r="J508">
        <v>23.047858000000002</v>
      </c>
      <c r="K508">
        <v>88.513014400000003</v>
      </c>
      <c r="L508">
        <v>18.159479139999998</v>
      </c>
      <c r="M508">
        <f t="shared" si="21"/>
        <v>1142.943428789202</v>
      </c>
      <c r="N508">
        <f t="shared" si="22"/>
        <v>1.5040800649434916E-2</v>
      </c>
      <c r="O508">
        <f t="shared" si="23"/>
        <v>7.8452448236142512E-5</v>
      </c>
    </row>
    <row r="509" spans="1:15" x14ac:dyDescent="0.2">
      <c r="A509">
        <v>508</v>
      </c>
      <c r="B509" t="s">
        <v>2111</v>
      </c>
      <c r="C509" t="s">
        <v>2111</v>
      </c>
      <c r="D509">
        <v>3582</v>
      </c>
      <c r="E509" t="s">
        <v>1662</v>
      </c>
      <c r="F509" t="s">
        <v>2101</v>
      </c>
      <c r="G509" t="s">
        <v>2102</v>
      </c>
      <c r="H509">
        <v>106760</v>
      </c>
      <c r="I509">
        <v>429</v>
      </c>
      <c r="J509">
        <v>26.3356861</v>
      </c>
      <c r="K509">
        <v>89.445851000000005</v>
      </c>
      <c r="L509">
        <v>46.843925480000003</v>
      </c>
      <c r="M509">
        <f t="shared" si="21"/>
        <v>1062.4226259632464</v>
      </c>
      <c r="N509">
        <f t="shared" si="22"/>
        <v>1.3480830774866677E-2</v>
      </c>
      <c r="O509">
        <f t="shared" si="23"/>
        <v>8.4335517221602541E-5</v>
      </c>
    </row>
    <row r="510" spans="1:15" x14ac:dyDescent="0.2">
      <c r="A510">
        <v>509</v>
      </c>
      <c r="B510" t="s">
        <v>2112</v>
      </c>
      <c r="C510" t="s">
        <v>2113</v>
      </c>
      <c r="D510">
        <v>3212</v>
      </c>
      <c r="E510" t="s">
        <v>1662</v>
      </c>
      <c r="F510" t="s">
        <v>2101</v>
      </c>
      <c r="G510" t="s">
        <v>2102</v>
      </c>
      <c r="H510">
        <v>249840</v>
      </c>
      <c r="I510">
        <v>180</v>
      </c>
      <c r="J510">
        <v>22.6808348</v>
      </c>
      <c r="K510">
        <v>88.292931300000006</v>
      </c>
      <c r="L510">
        <v>7.901014805</v>
      </c>
      <c r="M510">
        <f t="shared" si="21"/>
        <v>1149.528387846676</v>
      </c>
      <c r="N510">
        <f t="shared" si="22"/>
        <v>1.5847047269205616E-2</v>
      </c>
      <c r="O510">
        <f t="shared" si="23"/>
        <v>7.8019368235470924E-5</v>
      </c>
    </row>
    <row r="511" spans="1:15" x14ac:dyDescent="0.2">
      <c r="A511">
        <v>510</v>
      </c>
      <c r="B511" t="s">
        <v>2114</v>
      </c>
      <c r="C511" t="s">
        <v>2114</v>
      </c>
      <c r="D511">
        <v>354</v>
      </c>
      <c r="E511" t="s">
        <v>1662</v>
      </c>
      <c r="F511" t="s">
        <v>2101</v>
      </c>
      <c r="G511" t="s">
        <v>2102</v>
      </c>
      <c r="H511">
        <v>132016</v>
      </c>
      <c r="I511">
        <v>345</v>
      </c>
      <c r="J511">
        <v>27.0360066</v>
      </c>
      <c r="K511">
        <v>88.262675099999996</v>
      </c>
      <c r="L511">
        <v>2121.8833009999998</v>
      </c>
      <c r="M511">
        <f t="shared" si="21"/>
        <v>928.11333896336441</v>
      </c>
      <c r="N511">
        <f t="shared" si="22"/>
        <v>-0.20814440414763341</v>
      </c>
      <c r="O511">
        <f t="shared" si="23"/>
        <v>-9.6938959068916067E-5</v>
      </c>
    </row>
    <row r="512" spans="1:15" x14ac:dyDescent="0.2">
      <c r="A512">
        <v>511</v>
      </c>
      <c r="B512" t="s">
        <v>2115</v>
      </c>
      <c r="C512" t="s">
        <v>1695</v>
      </c>
      <c r="D512">
        <v>3485</v>
      </c>
      <c r="E512" t="s">
        <v>1662</v>
      </c>
      <c r="F512" t="s">
        <v>2101</v>
      </c>
      <c r="G512" t="s">
        <v>2102</v>
      </c>
      <c r="H512">
        <v>239022</v>
      </c>
      <c r="I512">
        <v>185</v>
      </c>
      <c r="J512">
        <v>24.670665400000001</v>
      </c>
      <c r="K512">
        <v>87.948184600000005</v>
      </c>
      <c r="L512">
        <v>27</v>
      </c>
      <c r="M512">
        <f t="shared" si="21"/>
        <v>997.06873540911636</v>
      </c>
      <c r="N512">
        <f t="shared" si="22"/>
        <v>1.635467205107884E-2</v>
      </c>
      <c r="O512">
        <f t="shared" si="23"/>
        <v>8.9912198116137051E-5</v>
      </c>
    </row>
    <row r="513" spans="1:15" x14ac:dyDescent="0.2">
      <c r="A513">
        <v>512</v>
      </c>
      <c r="B513" t="s">
        <v>2116</v>
      </c>
      <c r="C513" t="s">
        <v>2104</v>
      </c>
      <c r="D513">
        <v>343</v>
      </c>
      <c r="E513" t="s">
        <v>1662</v>
      </c>
      <c r="F513" t="s">
        <v>2101</v>
      </c>
      <c r="G513" t="s">
        <v>2102</v>
      </c>
      <c r="H513">
        <v>581409</v>
      </c>
      <c r="I513">
        <v>75</v>
      </c>
      <c r="J513">
        <v>23.520444300000001</v>
      </c>
      <c r="K513">
        <v>87.311922699999997</v>
      </c>
      <c r="L513">
        <v>107.7963104</v>
      </c>
      <c r="M513">
        <f t="shared" si="21"/>
        <v>1013.0654267511579</v>
      </c>
      <c r="N513">
        <f t="shared" si="22"/>
        <v>8.120996850503364E-3</v>
      </c>
      <c r="O513">
        <f t="shared" si="23"/>
        <v>8.8151865241751622E-5</v>
      </c>
    </row>
    <row r="514" spans="1:15" x14ac:dyDescent="0.2">
      <c r="A514">
        <v>513</v>
      </c>
      <c r="B514" t="s">
        <v>2117</v>
      </c>
      <c r="C514" t="s">
        <v>1701</v>
      </c>
      <c r="D514">
        <v>3216</v>
      </c>
      <c r="E514" t="s">
        <v>1662</v>
      </c>
      <c r="F514" t="s">
        <v>2101</v>
      </c>
      <c r="G514" t="s">
        <v>2102</v>
      </c>
      <c r="H514">
        <v>304584</v>
      </c>
      <c r="I514">
        <v>149</v>
      </c>
      <c r="J514">
        <v>22.848854200000002</v>
      </c>
      <c r="K514">
        <v>88.6639591</v>
      </c>
      <c r="L514">
        <v>13.23550797</v>
      </c>
      <c r="M514">
        <f t="shared" si="21"/>
        <v>1168.482577745531</v>
      </c>
      <c r="N514">
        <f t="shared" si="22"/>
        <v>1.5133457459945966E-2</v>
      </c>
      <c r="O514">
        <f t="shared" si="23"/>
        <v>7.6745680521415801E-5</v>
      </c>
    </row>
    <row r="515" spans="1:15" x14ac:dyDescent="0.2">
      <c r="A515">
        <v>514</v>
      </c>
      <c r="B515" t="s">
        <v>2118</v>
      </c>
      <c r="C515" t="s">
        <v>2119</v>
      </c>
      <c r="D515">
        <v>3224</v>
      </c>
      <c r="E515" t="s">
        <v>1662</v>
      </c>
      <c r="F515" t="s">
        <v>2101</v>
      </c>
      <c r="G515" t="s">
        <v>2102</v>
      </c>
      <c r="H515">
        <v>200762</v>
      </c>
      <c r="I515">
        <v>214</v>
      </c>
      <c r="J515">
        <v>22.066674200000001</v>
      </c>
      <c r="K515">
        <v>88.069811799999997</v>
      </c>
      <c r="L515">
        <v>7.1147627829999998</v>
      </c>
      <c r="M515">
        <f t="shared" ref="M515:M529" si="24">2*6371*ASIN(SQRT(
    SIN(RADIANS(J515-$V$6)/2)^2 +
    COS(RADIANS($V$6)) * COS(RADIANS(J515)) *
    SIN(RADIANS(K515-$V$7)/2)^2
))</f>
        <v>1175.5482135323975</v>
      </c>
      <c r="N515">
        <f t="shared" ref="N515:N529" si="25">($V$5-L515)/(M515*1000)*100</f>
        <v>1.5563169329078133E-2</v>
      </c>
      <c r="O515">
        <f t="shared" ref="O515:O529" si="26">DEGREES(ATAN($V$5-L515)/(M515*1000))</f>
        <v>7.6293621314654547E-5</v>
      </c>
    </row>
    <row r="516" spans="1:15" x14ac:dyDescent="0.2">
      <c r="A516">
        <v>515</v>
      </c>
      <c r="B516" t="s">
        <v>1684</v>
      </c>
      <c r="C516" t="s">
        <v>1684</v>
      </c>
      <c r="D516">
        <v>3561</v>
      </c>
      <c r="E516" t="s">
        <v>1662</v>
      </c>
      <c r="F516" t="s">
        <v>2101</v>
      </c>
      <c r="G516" t="s">
        <v>2102</v>
      </c>
      <c r="H516">
        <v>303874</v>
      </c>
      <c r="I516">
        <v>150</v>
      </c>
      <c r="J516">
        <v>26.543477200000002</v>
      </c>
      <c r="K516">
        <v>88.720525600000002</v>
      </c>
      <c r="L516">
        <v>83.273719790000001</v>
      </c>
      <c r="M516">
        <f t="shared" si="24"/>
        <v>986.60529529489281</v>
      </c>
      <c r="N516">
        <f t="shared" si="25"/>
        <v>1.0824349161645212E-2</v>
      </c>
      <c r="O516">
        <f t="shared" si="26"/>
        <v>9.0678112746794812E-5</v>
      </c>
    </row>
    <row r="517" spans="1:15" x14ac:dyDescent="0.2">
      <c r="A517">
        <v>516</v>
      </c>
      <c r="B517" t="s">
        <v>2120</v>
      </c>
      <c r="C517" t="s">
        <v>1695</v>
      </c>
      <c r="D517">
        <v>3483</v>
      </c>
      <c r="E517" t="s">
        <v>1662</v>
      </c>
      <c r="F517" t="s">
        <v>2101</v>
      </c>
      <c r="G517" t="s">
        <v>2102</v>
      </c>
      <c r="H517">
        <v>122875</v>
      </c>
      <c r="I517">
        <v>367</v>
      </c>
      <c r="J517">
        <v>24.4589833</v>
      </c>
      <c r="K517">
        <v>88.104728699999995</v>
      </c>
      <c r="L517">
        <v>25.373281479999999</v>
      </c>
      <c r="M517">
        <f t="shared" si="24"/>
        <v>1022.4776925540981</v>
      </c>
      <c r="N517">
        <f t="shared" si="25"/>
        <v>1.6107348015446922E-2</v>
      </c>
      <c r="O517">
        <f t="shared" si="26"/>
        <v>8.7681240072568761E-5</v>
      </c>
    </row>
    <row r="518" spans="1:15" x14ac:dyDescent="0.2">
      <c r="A518">
        <v>517</v>
      </c>
      <c r="B518" t="s">
        <v>2121</v>
      </c>
      <c r="C518" t="s">
        <v>2122</v>
      </c>
      <c r="D518">
        <v>3220</v>
      </c>
      <c r="E518" t="s">
        <v>1662</v>
      </c>
      <c r="F518" t="s">
        <v>2101</v>
      </c>
      <c r="G518" t="s">
        <v>2102</v>
      </c>
      <c r="H518">
        <v>92226</v>
      </c>
      <c r="I518">
        <v>504</v>
      </c>
      <c r="J518">
        <v>21.781134300000002</v>
      </c>
      <c r="K518">
        <v>87.7450379</v>
      </c>
      <c r="L518">
        <v>8.9260749819999994</v>
      </c>
      <c r="M518">
        <f t="shared" si="24"/>
        <v>1172.1997315486033</v>
      </c>
      <c r="N518">
        <f t="shared" si="25"/>
        <v>1.545310427419163E-2</v>
      </c>
      <c r="O518">
        <f t="shared" si="26"/>
        <v>7.6508888686522883E-5</v>
      </c>
    </row>
    <row r="519" spans="1:15" x14ac:dyDescent="0.2">
      <c r="A519">
        <v>518</v>
      </c>
      <c r="B519" t="s">
        <v>2123</v>
      </c>
      <c r="C519" t="s">
        <v>2124</v>
      </c>
      <c r="D519">
        <v>3222</v>
      </c>
      <c r="E519" t="s">
        <v>1662</v>
      </c>
      <c r="F519" t="s">
        <v>2101</v>
      </c>
      <c r="G519" t="s">
        <v>2102</v>
      </c>
      <c r="H519">
        <v>293719</v>
      </c>
      <c r="I519">
        <v>154</v>
      </c>
      <c r="J519">
        <v>22.34601</v>
      </c>
      <c r="K519">
        <v>87.231975300000002</v>
      </c>
      <c r="L519">
        <v>52.288425449999998</v>
      </c>
      <c r="M519">
        <f t="shared" si="24"/>
        <v>1090.6788205152852</v>
      </c>
      <c r="N519">
        <f t="shared" si="25"/>
        <v>1.2632398627206045E-2</v>
      </c>
      <c r="O519">
        <f t="shared" si="26"/>
        <v>8.2136145425106854E-5</v>
      </c>
    </row>
    <row r="520" spans="1:15" x14ac:dyDescent="0.2">
      <c r="A520">
        <v>519</v>
      </c>
      <c r="B520" t="s">
        <v>1690</v>
      </c>
      <c r="C520" t="s">
        <v>1690</v>
      </c>
      <c r="D520">
        <v>33</v>
      </c>
      <c r="E520" t="s">
        <v>1662</v>
      </c>
      <c r="F520" t="s">
        <v>2101</v>
      </c>
      <c r="G520" t="s">
        <v>2102</v>
      </c>
      <c r="H520">
        <v>14112536</v>
      </c>
      <c r="I520">
        <v>2</v>
      </c>
      <c r="J520">
        <v>22.572645999999999</v>
      </c>
      <c r="K520">
        <v>88.363894999999999</v>
      </c>
      <c r="L520">
        <v>13.949723240000001</v>
      </c>
      <c r="M520">
        <f t="shared" si="24"/>
        <v>1162.6978850770661</v>
      </c>
      <c r="N520">
        <f t="shared" si="25"/>
        <v>1.51473225177774E-2</v>
      </c>
      <c r="O520">
        <f t="shared" si="26"/>
        <v>7.7126378073004971E-5</v>
      </c>
    </row>
    <row r="521" spans="1:15" x14ac:dyDescent="0.2">
      <c r="A521">
        <v>520</v>
      </c>
      <c r="B521" t="s">
        <v>2125</v>
      </c>
      <c r="C521" t="s">
        <v>1698</v>
      </c>
      <c r="D521">
        <v>3472</v>
      </c>
      <c r="E521" t="s">
        <v>1662</v>
      </c>
      <c r="F521" t="s">
        <v>2101</v>
      </c>
      <c r="G521" t="s">
        <v>2102</v>
      </c>
      <c r="H521">
        <v>181182</v>
      </c>
      <c r="I521">
        <v>240</v>
      </c>
      <c r="J521">
        <v>23.400874399999999</v>
      </c>
      <c r="K521">
        <v>88.501396200000002</v>
      </c>
      <c r="L521">
        <v>19.993436809999999</v>
      </c>
      <c r="M521">
        <f t="shared" si="24"/>
        <v>1119.3707011176548</v>
      </c>
      <c r="N521">
        <f t="shared" si="25"/>
        <v>1.5193705250654391E-2</v>
      </c>
      <c r="O521">
        <f t="shared" si="26"/>
        <v>8.0101360713497359E-5</v>
      </c>
    </row>
    <row r="522" spans="1:15" x14ac:dyDescent="0.2">
      <c r="A522">
        <v>521</v>
      </c>
      <c r="B522" t="s">
        <v>2126</v>
      </c>
      <c r="C522" t="s">
        <v>2126</v>
      </c>
      <c r="D522">
        <v>3512</v>
      </c>
      <c r="E522" t="s">
        <v>1662</v>
      </c>
      <c r="F522" t="s">
        <v>2101</v>
      </c>
      <c r="G522" t="s">
        <v>2102</v>
      </c>
      <c r="H522">
        <v>324237</v>
      </c>
      <c r="I522">
        <v>137</v>
      </c>
      <c r="J522">
        <v>25.0108408</v>
      </c>
      <c r="K522">
        <v>88.141096700000006</v>
      </c>
      <c r="L522">
        <v>30.775852199999999</v>
      </c>
      <c r="M522">
        <f t="shared" si="24"/>
        <v>996.4117555472227</v>
      </c>
      <c r="N522">
        <f t="shared" si="25"/>
        <v>1.5986510467504288E-2</v>
      </c>
      <c r="O522">
        <f t="shared" si="26"/>
        <v>8.9963122953022701E-5</v>
      </c>
    </row>
    <row r="523" spans="1:15" x14ac:dyDescent="0.2">
      <c r="A523">
        <v>522</v>
      </c>
      <c r="B523" t="s">
        <v>2127</v>
      </c>
      <c r="C523" t="s">
        <v>2124</v>
      </c>
      <c r="D523">
        <v>3222</v>
      </c>
      <c r="E523" t="s">
        <v>1662</v>
      </c>
      <c r="F523" t="s">
        <v>2101</v>
      </c>
      <c r="G523" t="s">
        <v>2102</v>
      </c>
      <c r="H523">
        <v>169127</v>
      </c>
      <c r="I523">
        <v>257</v>
      </c>
      <c r="J523">
        <v>22.430889199999999</v>
      </c>
      <c r="K523">
        <v>87.321490800000007</v>
      </c>
      <c r="L523">
        <v>53.373405460000001</v>
      </c>
      <c r="M523">
        <f t="shared" si="24"/>
        <v>1091.1061652879553</v>
      </c>
      <c r="N523">
        <f t="shared" si="25"/>
        <v>1.2528012460082189E-2</v>
      </c>
      <c r="O523">
        <f t="shared" si="26"/>
        <v>8.2100950842566484E-5</v>
      </c>
    </row>
    <row r="524" spans="1:15" x14ac:dyDescent="0.2">
      <c r="A524">
        <v>523</v>
      </c>
      <c r="B524" t="s">
        <v>2128</v>
      </c>
      <c r="C524" t="s">
        <v>1698</v>
      </c>
      <c r="D524">
        <v>3472</v>
      </c>
      <c r="E524" t="s">
        <v>1662</v>
      </c>
      <c r="F524" t="s">
        <v>2101</v>
      </c>
      <c r="G524" t="s">
        <v>2102</v>
      </c>
      <c r="H524">
        <v>175474</v>
      </c>
      <c r="I524">
        <v>246</v>
      </c>
      <c r="J524">
        <v>23.4036446</v>
      </c>
      <c r="K524">
        <v>88.367639299999993</v>
      </c>
      <c r="L524">
        <v>18.567314150000001</v>
      </c>
      <c r="M524">
        <f t="shared" si="24"/>
        <v>1107.9505193814171</v>
      </c>
      <c r="N524">
        <f t="shared" si="25"/>
        <v>1.5479031296970792E-2</v>
      </c>
      <c r="O524">
        <f t="shared" si="26"/>
        <v>8.092953255097978E-5</v>
      </c>
    </row>
    <row r="525" spans="1:15" x14ac:dyDescent="0.2">
      <c r="A525">
        <v>524</v>
      </c>
      <c r="B525" t="s">
        <v>2129</v>
      </c>
      <c r="C525" t="s">
        <v>2129</v>
      </c>
      <c r="D525">
        <v>3252</v>
      </c>
      <c r="E525" t="s">
        <v>1662</v>
      </c>
      <c r="F525" t="s">
        <v>2101</v>
      </c>
      <c r="G525" t="s">
        <v>2102</v>
      </c>
      <c r="H525">
        <v>126894</v>
      </c>
      <c r="I525">
        <v>358</v>
      </c>
      <c r="J525">
        <v>23.332077900000002</v>
      </c>
      <c r="K525">
        <v>86.365207999999996</v>
      </c>
      <c r="L525">
        <v>255.63903809999999</v>
      </c>
      <c r="M525">
        <f t="shared" si="24"/>
        <v>951.30964073942653</v>
      </c>
      <c r="N525">
        <f t="shared" si="25"/>
        <v>-6.8927837469441519E-3</v>
      </c>
      <c r="O525">
        <f t="shared" si="26"/>
        <v>-9.3687981183563894E-5</v>
      </c>
    </row>
    <row r="526" spans="1:15" x14ac:dyDescent="0.2">
      <c r="A526">
        <v>525</v>
      </c>
      <c r="B526" t="s">
        <v>2130</v>
      </c>
      <c r="C526" t="s">
        <v>1709</v>
      </c>
      <c r="D526">
        <v>3523</v>
      </c>
      <c r="E526" t="s">
        <v>1662</v>
      </c>
      <c r="F526" t="s">
        <v>2101</v>
      </c>
      <c r="G526" t="s">
        <v>2102</v>
      </c>
      <c r="H526">
        <v>199758</v>
      </c>
      <c r="I526">
        <v>218</v>
      </c>
      <c r="J526">
        <v>25.618529500000001</v>
      </c>
      <c r="K526">
        <v>88.125583700000007</v>
      </c>
      <c r="L526">
        <v>37.438377379999999</v>
      </c>
      <c r="M526">
        <f t="shared" si="24"/>
        <v>966.2274899562301</v>
      </c>
      <c r="N526">
        <f t="shared" si="25"/>
        <v>1.5796377768853797E-2</v>
      </c>
      <c r="O526">
        <f t="shared" si="26"/>
        <v>9.2757258183769347E-5</v>
      </c>
    </row>
    <row r="527" spans="1:15" x14ac:dyDescent="0.2">
      <c r="A527">
        <v>526</v>
      </c>
      <c r="B527" t="s">
        <v>2131</v>
      </c>
      <c r="C527" t="s">
        <v>1698</v>
      </c>
      <c r="D527">
        <v>3473</v>
      </c>
      <c r="E527" t="s">
        <v>1662</v>
      </c>
      <c r="F527" t="s">
        <v>2101</v>
      </c>
      <c r="G527" t="s">
        <v>2102</v>
      </c>
      <c r="H527">
        <v>235583</v>
      </c>
      <c r="I527">
        <v>186</v>
      </c>
      <c r="J527">
        <v>23.174050000000001</v>
      </c>
      <c r="K527">
        <v>88.563935200000003</v>
      </c>
      <c r="L527">
        <v>16.674188610000002</v>
      </c>
      <c r="M527">
        <f t="shared" si="24"/>
        <v>1139.0114797562724</v>
      </c>
      <c r="N527">
        <f t="shared" si="25"/>
        <v>1.5223124285551799E-2</v>
      </c>
      <c r="O527">
        <f t="shared" si="26"/>
        <v>7.8725778171801386E-5</v>
      </c>
    </row>
    <row r="528" spans="1:15" x14ac:dyDescent="0.2">
      <c r="A528">
        <v>527</v>
      </c>
      <c r="B528" t="s">
        <v>2132</v>
      </c>
      <c r="C528" t="s">
        <v>1698</v>
      </c>
      <c r="D528">
        <v>3472</v>
      </c>
      <c r="E528" t="s">
        <v>1662</v>
      </c>
      <c r="F528" t="s">
        <v>2101</v>
      </c>
      <c r="G528" t="s">
        <v>2102</v>
      </c>
      <c r="H528">
        <v>288718</v>
      </c>
      <c r="I528">
        <v>159</v>
      </c>
      <c r="J528">
        <v>23.264539899999999</v>
      </c>
      <c r="K528">
        <v>88.438096599999994</v>
      </c>
      <c r="L528">
        <v>16.73291588</v>
      </c>
      <c r="M528">
        <f t="shared" si="24"/>
        <v>1122.7035646551926</v>
      </c>
      <c r="N528">
        <f t="shared" si="25"/>
        <v>1.5439018043310023E-2</v>
      </c>
      <c r="O528">
        <f t="shared" si="26"/>
        <v>7.9869215669680483E-5</v>
      </c>
    </row>
    <row r="529" spans="1:15" x14ac:dyDescent="0.2">
      <c r="A529">
        <v>528</v>
      </c>
      <c r="B529" t="s">
        <v>2133</v>
      </c>
      <c r="C529" t="s">
        <v>2134</v>
      </c>
      <c r="D529">
        <v>353</v>
      </c>
      <c r="E529" t="s">
        <v>1662</v>
      </c>
      <c r="F529" t="s">
        <v>2101</v>
      </c>
      <c r="G529" t="s">
        <v>2102</v>
      </c>
      <c r="H529">
        <v>701489</v>
      </c>
      <c r="I529">
        <v>65</v>
      </c>
      <c r="J529">
        <v>26.708381800000002</v>
      </c>
      <c r="K529">
        <v>88.426874100000006</v>
      </c>
      <c r="L529">
        <v>122.0030594</v>
      </c>
      <c r="M529">
        <f t="shared" si="24"/>
        <v>953.40274919804028</v>
      </c>
      <c r="N529">
        <f t="shared" si="25"/>
        <v>7.1390881196066007E-3</v>
      </c>
      <c r="O529">
        <f t="shared" si="26"/>
        <v>9.3515852731885539E-5</v>
      </c>
    </row>
  </sheetData>
  <mergeCells count="1">
    <mergeCell ref="U4: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64FE-EA29-784F-A895-E265BEC93889}">
  <dimension ref="A1:O595"/>
  <sheetViews>
    <sheetView workbookViewId="0">
      <selection activeCell="M7" sqref="M7"/>
    </sheetView>
  </sheetViews>
  <sheetFormatPr baseColWidth="10" defaultRowHeight="16" x14ac:dyDescent="0.2"/>
  <cols>
    <col min="1" max="1" width="20.33203125" bestFit="1" customWidth="1"/>
    <col min="2" max="2" width="22.5" bestFit="1" customWidth="1"/>
    <col min="3" max="3" width="12.1640625" bestFit="1" customWidth="1"/>
    <col min="5" max="5" width="13.5" bestFit="1" customWidth="1"/>
    <col min="6" max="6" width="15.83203125" bestFit="1" customWidth="1"/>
    <col min="7" max="7" width="9.6640625" bestFit="1" customWidth="1"/>
    <col min="12" max="12" width="14.5" bestFit="1" customWidth="1"/>
    <col min="13" max="13" width="20" bestFit="1" customWidth="1"/>
  </cols>
  <sheetData>
    <row r="1" spans="1:15" s="10" customFormat="1" ht="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1744</v>
      </c>
      <c r="F1" s="10" t="s">
        <v>2137</v>
      </c>
      <c r="G1" s="10" t="s">
        <v>2136</v>
      </c>
    </row>
    <row r="2" spans="1:15" x14ac:dyDescent="0.2">
      <c r="A2" t="s">
        <v>4</v>
      </c>
      <c r="B2" t="s">
        <v>5</v>
      </c>
      <c r="C2">
        <v>12.382571069235</v>
      </c>
      <c r="D2">
        <v>92.822910506414999</v>
      </c>
      <c r="E2">
        <f t="shared" ref="E2:E65" si="0">2*6371*ASIN(SQRT(
    SIN(RADIANS(C2-$M$7)/2)^2 +
    COS(RADIANS($M$7)) * COS(RADIANS(C2)) *
    SIN(RADIANS(D2-$M$8)/2)^2
))</f>
        <v>1257.2154639868118</v>
      </c>
      <c r="F2" s="34">
        <f>IFERROR(MOD(DEGREES(ATAN2(COS(RADIANS($M$7))*SIN(RADIANS(C2))-SIN(RADIANS($M$7))*COS(RADIANS(C2))*COS(RADIANS(D2-$M$8)), SIN(RADIANS(D2-$M$8))*COS(RADIANS(C2))))+360, 360),"Current City")</f>
        <v>150.95801494102227</v>
      </c>
      <c r="G2" t="str" cm="1">
        <f t="array" ref="G2">IFERROR(
  _xlfn.IFS(F2="Current City","No Direction",
    OR(F2&gt;=337.5,F2&lt;22.5),"N",
    F2&lt;67.5,"NE",
    F2&lt;112.5,"E",
    F2&lt;157.5,"SE",
    F2&lt;202.5,"S",
    F2&lt;247.5,"SW",
    F2&lt;292.5,"W",
    F2&lt;337.5,"NW"
  ), "No Direction"
)</f>
        <v>SE</v>
      </c>
    </row>
    <row r="3" spans="1:15" x14ac:dyDescent="0.2">
      <c r="A3" t="s">
        <v>4</v>
      </c>
      <c r="B3" t="s">
        <v>8</v>
      </c>
      <c r="C3">
        <v>7.8352907497741899</v>
      </c>
      <c r="D3">
        <v>93.511601237578503</v>
      </c>
      <c r="E3">
        <f t="shared" si="0"/>
        <v>1748.7918752881653</v>
      </c>
      <c r="F3" s="34">
        <f t="shared" ref="F3:F66" si="1">IFERROR(MOD(DEGREES(ATAN2(COS(RADIANS($M$7))*SIN(RADIANS(C3))-SIN(RADIANS($M$7))*COS(RADIANS(C3))*COS(RADIANS(D3-$M$8)), SIN(RADIANS(D3-$M$8))*COS(RADIANS(C3))))+360, 360),"Current City")</f>
        <v>156.43270682194191</v>
      </c>
      <c r="G3" t="str" cm="1">
        <f t="array" ref="G3">IFERROR(
  _xlfn.IFS(F3="Current City","No Direction",
    OR(F3&gt;=337.5,F3&lt;22.5),"N",
    F3&lt;67.5,"NE",
    F3&lt;112.5,"E",
    F3&lt;157.5,"SE",
    F3&lt;202.5,"S",
    F3&lt;247.5,"SW",
    F3&lt;292.5,"W",
    F3&lt;337.5,"NW"
  ), "No Direction"
)</f>
        <v>SE</v>
      </c>
    </row>
    <row r="4" spans="1:15" x14ac:dyDescent="0.2">
      <c r="A4" t="s">
        <v>11</v>
      </c>
      <c r="B4" t="s">
        <v>12</v>
      </c>
      <c r="C4">
        <v>19.2845139500734</v>
      </c>
      <c r="D4">
        <v>78.813212334801705</v>
      </c>
      <c r="E4">
        <f t="shared" si="0"/>
        <v>938.92032982531737</v>
      </c>
      <c r="F4" s="34">
        <f t="shared" si="1"/>
        <v>250.21890731069496</v>
      </c>
      <c r="G4" t="str" cm="1">
        <f t="array" ref="G4">IFERROR(
  _xlfn.IFS(F4="Current City","No Direction",
    OR(F4&gt;=337.5,F4&lt;22.5),"N",
    F4&lt;67.5,"NE",
    F4&lt;112.5,"E",
    F4&lt;157.5,"SE",
    F4&lt;202.5,"S",
    F4&lt;247.5,"SW",
    F4&lt;292.5,"W",
    F4&lt;337.5,"NW"
  ), "No Direction"
)</f>
        <v>W</v>
      </c>
    </row>
    <row r="5" spans="1:15" ht="22" x14ac:dyDescent="0.3">
      <c r="A5" t="s">
        <v>11</v>
      </c>
      <c r="B5" t="s">
        <v>15</v>
      </c>
      <c r="C5">
        <v>14.312065561843101</v>
      </c>
      <c r="D5">
        <v>77.460158447857694</v>
      </c>
      <c r="E5">
        <f t="shared" si="0"/>
        <v>1364.132425460898</v>
      </c>
      <c r="F5" s="34">
        <f t="shared" si="1"/>
        <v>230.70543547550611</v>
      </c>
      <c r="G5" t="str" cm="1">
        <f t="array" ref="G5">IFERROR(
  _xlfn.IFS(F5="Current City","No Direction",
    OR(F5&gt;=337.5,F5&lt;22.5),"N",
    F5&lt;67.5,"NE",
    F5&lt;112.5,"E",
    F5&lt;157.5,"SE",
    F5&lt;202.5,"S",
    F5&lt;247.5,"SW",
    F5&lt;292.5,"W",
    F5&lt;337.5,"NW"
  ), "No Direction"
)</f>
        <v>SW</v>
      </c>
      <c r="L5" s="53" t="s">
        <v>2138</v>
      </c>
      <c r="M5" s="53"/>
    </row>
    <row r="6" spans="1:15" ht="27" x14ac:dyDescent="0.35">
      <c r="A6" t="s">
        <v>11</v>
      </c>
      <c r="B6" t="s">
        <v>17</v>
      </c>
      <c r="C6">
        <v>13.331092630676901</v>
      </c>
      <c r="D6">
        <v>78.927638988860295</v>
      </c>
      <c r="E6">
        <f t="shared" si="0"/>
        <v>1333.0513373128781</v>
      </c>
      <c r="F6" s="34">
        <f t="shared" si="1"/>
        <v>222.57245977594587</v>
      </c>
      <c r="G6" t="str" cm="1">
        <f t="array" ref="G6">IFERROR(
  _xlfn.IFS(F6="Current City","No Direction",
    OR(F6&gt;=337.5,F6&lt;22.5),"N",
    F6&lt;67.5,"NE",
    F6&lt;112.5,"E",
    F6&lt;157.5,"SE",
    F6&lt;202.5,"S",
    F6&lt;247.5,"SW",
    F6&lt;292.5,"W",
    F6&lt;337.5,"NW"
  ), "No Direction"
)</f>
        <v>SW</v>
      </c>
      <c r="L6" s="37" t="s">
        <v>1745</v>
      </c>
      <c r="M6" s="37" t="s">
        <v>2139</v>
      </c>
    </row>
    <row r="7" spans="1:15" ht="27" x14ac:dyDescent="0.35">
      <c r="A7" t="s">
        <v>11</v>
      </c>
      <c r="B7" t="s">
        <v>20</v>
      </c>
      <c r="C7">
        <v>14.4902891341256</v>
      </c>
      <c r="D7">
        <v>78.696138709677498</v>
      </c>
      <c r="E7">
        <f t="shared" si="0"/>
        <v>1254.4427402030281</v>
      </c>
      <c r="F7" s="34">
        <f t="shared" si="1"/>
        <v>227.26536454500373</v>
      </c>
      <c r="G7" t="str" cm="1">
        <f t="array" ref="G7">IFERROR(
  _xlfn.IFS(F7="Current City","No Direction",
    OR(F7&gt;=337.5,F7&lt;22.5),"N",
    F7&lt;67.5,"NE",
    F7&lt;112.5,"E",
    F7&lt;157.5,"SE",
    F7&lt;202.5,"S",
    F7&lt;247.5,"SW",
    F7&lt;292.5,"W",
    F7&lt;337.5,"NW"
  ), "No Direction"
)</f>
        <v>SW</v>
      </c>
      <c r="L7" s="35" t="s">
        <v>2</v>
      </c>
      <c r="M7" s="35">
        <f>_xlfn.XLOOKUP(M6,B2:B595, C2:C595)</f>
        <v>22.3548969196919</v>
      </c>
    </row>
    <row r="8" spans="1:15" ht="27" x14ac:dyDescent="0.35">
      <c r="A8" t="s">
        <v>11</v>
      </c>
      <c r="B8" t="s">
        <v>23</v>
      </c>
      <c r="C8">
        <v>16.782718320784898</v>
      </c>
      <c r="D8">
        <v>82.243207472051097</v>
      </c>
      <c r="E8">
        <f t="shared" si="0"/>
        <v>810.35755449788246</v>
      </c>
      <c r="F8" s="34">
        <f t="shared" si="1"/>
        <v>221.01083178275991</v>
      </c>
      <c r="G8" t="str" cm="1">
        <f t="array" ref="G8">IFERROR(
  _xlfn.IFS(F8="Current City","No Direction",
    OR(F8&gt;=337.5,F8&lt;22.5),"N",
    F8&lt;67.5,"NE",
    F8&lt;112.5,"E",
    F8&lt;157.5,"SE",
    F8&lt;202.5,"S",
    F8&lt;247.5,"SW",
    F8&lt;292.5,"W",
    F8&lt;337.5,"NW"
  ), "No Direction"
)</f>
        <v>SW</v>
      </c>
      <c r="L8" s="36" t="s">
        <v>3</v>
      </c>
      <c r="M8" s="36">
        <f>_xlfn.XLOOKUP(M6,B2:B595, D2:D595)</f>
        <v>87.231014411441194</v>
      </c>
      <c r="O8" t="s">
        <v>2135</v>
      </c>
    </row>
    <row r="9" spans="1:15" x14ac:dyDescent="0.2">
      <c r="A9" t="s">
        <v>11</v>
      </c>
      <c r="B9" t="s">
        <v>25</v>
      </c>
      <c r="C9">
        <v>15.884925767634799</v>
      </c>
      <c r="D9">
        <v>80.586576141078794</v>
      </c>
      <c r="E9">
        <f t="shared" si="0"/>
        <v>1002.0555516615599</v>
      </c>
      <c r="F9" s="34">
        <f t="shared" si="1"/>
        <v>225.27513043383269</v>
      </c>
      <c r="G9" t="str" cm="1">
        <f t="array" ref="G9">IFERROR(
  _xlfn.IFS(F9="Current City","No Direction",
    OR(F9&gt;=337.5,F9&lt;22.5),"N",
    F9&lt;67.5,"NE",
    F9&lt;112.5,"E",
    F9&lt;157.5,"SE",
    F9&lt;202.5,"S",
    F9&lt;247.5,"SW",
    F9&lt;292.5,"W",
    F9&lt;337.5,"NW"
  ), "No Direction"
)</f>
        <v>SW</v>
      </c>
    </row>
    <row r="10" spans="1:15" x14ac:dyDescent="0.2">
      <c r="A10" t="s">
        <v>11</v>
      </c>
      <c r="B10" t="s">
        <v>28</v>
      </c>
      <c r="C10">
        <v>17.389715555555501</v>
      </c>
      <c r="D10">
        <v>78.466688888888797</v>
      </c>
      <c r="E10">
        <f t="shared" si="0"/>
        <v>1069.5319233128096</v>
      </c>
      <c r="F10" s="34">
        <f t="shared" si="1"/>
        <v>240.48646961760835</v>
      </c>
      <c r="G10" t="str" cm="1">
        <f t="array" ref="G10">IFERROR(
  _xlfn.IFS(F10="Current City","No Direction",
    OR(F10&gt;=337.5,F10&lt;22.5),"N",
    F10&lt;67.5,"NE",
    F10&lt;112.5,"E",
    F10&lt;157.5,"SE",
    F10&lt;202.5,"S",
    F10&lt;247.5,"SW",
    F10&lt;292.5,"W",
    F10&lt;337.5,"NW"
  ), "No Direction"
)</f>
        <v>SW</v>
      </c>
    </row>
    <row r="11" spans="1:15" x14ac:dyDescent="0.2">
      <c r="A11" t="s">
        <v>11</v>
      </c>
      <c r="B11" t="s">
        <v>31</v>
      </c>
      <c r="C11">
        <v>18.515483193277301</v>
      </c>
      <c r="D11">
        <v>79.437654285714103</v>
      </c>
      <c r="E11">
        <f t="shared" si="0"/>
        <v>917.1742398041257</v>
      </c>
      <c r="F11" s="34">
        <f t="shared" si="1"/>
        <v>243.6713457150729</v>
      </c>
      <c r="G11" t="str" cm="1">
        <f t="array" ref="G11">IFERROR(
  _xlfn.IFS(F11="Current City","No Direction",
    OR(F11&gt;=337.5,F11&lt;22.5),"N",
    F11&lt;67.5,"NE",
    F11&lt;112.5,"E",
    F11&lt;157.5,"SE",
    F11&lt;202.5,"S",
    F11&lt;247.5,"SW",
    F11&lt;292.5,"W",
    F11&lt;337.5,"NW"
  ), "No Direction"
)</f>
        <v>SW</v>
      </c>
    </row>
    <row r="12" spans="1:15" x14ac:dyDescent="0.2">
      <c r="A12" t="s">
        <v>11</v>
      </c>
      <c r="B12" t="s">
        <v>34</v>
      </c>
      <c r="C12">
        <v>17.683921325051699</v>
      </c>
      <c r="D12">
        <v>80.670086438923306</v>
      </c>
      <c r="E12">
        <f t="shared" si="0"/>
        <v>859.76544909462689</v>
      </c>
      <c r="F12" s="34">
        <f t="shared" si="1"/>
        <v>234.01081604810622</v>
      </c>
      <c r="G12" t="str" cm="1">
        <f t="array" ref="G12">IFERROR(
  _xlfn.IFS(F12="Current City","No Direction",
    OR(F12&gt;=337.5,F12&lt;22.5),"N",
    F12&lt;67.5,"NE",
    F12&lt;112.5,"E",
    F12&lt;157.5,"SE",
    F12&lt;202.5,"S",
    F12&lt;247.5,"SW",
    F12&lt;292.5,"W",
    F12&lt;337.5,"NW"
  ), "No Direction"
)</f>
        <v>SW</v>
      </c>
    </row>
    <row r="13" spans="1:15" x14ac:dyDescent="0.2">
      <c r="A13" t="s">
        <v>11</v>
      </c>
      <c r="B13" t="s">
        <v>37</v>
      </c>
      <c r="C13">
        <v>16.143872753151602</v>
      </c>
      <c r="D13">
        <v>81.148050610004105</v>
      </c>
      <c r="E13">
        <f t="shared" si="0"/>
        <v>940.30410949764644</v>
      </c>
      <c r="F13" s="34">
        <f t="shared" si="1"/>
        <v>223.80317231326902</v>
      </c>
      <c r="G13" t="str" cm="1">
        <f t="array" ref="G13">IFERROR(
  _xlfn.IFS(F13="Current City","No Direction",
    OR(F13&gt;=337.5,F13&lt;22.5),"N",
    F13&lt;67.5,"NE",
    F13&lt;112.5,"E",
    F13&lt;157.5,"SE",
    F13&lt;202.5,"S",
    F13&lt;247.5,"SW",
    F13&lt;292.5,"W",
    F13&lt;337.5,"NW"
  ), "No Direction"
)</f>
        <v>SW</v>
      </c>
    </row>
    <row r="14" spans="1:15" x14ac:dyDescent="0.2">
      <c r="A14" t="s">
        <v>11</v>
      </c>
      <c r="B14" t="s">
        <v>40</v>
      </c>
      <c r="C14">
        <v>15.4375971514242</v>
      </c>
      <c r="D14">
        <v>77.900868365817104</v>
      </c>
      <c r="E14">
        <f t="shared" si="0"/>
        <v>1246.29785897182</v>
      </c>
      <c r="F14" s="34">
        <f t="shared" si="1"/>
        <v>233.51187456196106</v>
      </c>
      <c r="G14" t="str" cm="1">
        <f t="array" ref="G14">IFERROR(
  _xlfn.IFS(F14="Current City","No Direction",
    OR(F14&gt;=337.5,F14&lt;22.5),"N",
    F14&lt;67.5,"NE",
    F14&lt;112.5,"E",
    F14&lt;157.5,"SE",
    F14&lt;202.5,"S",
    F14&lt;247.5,"SW",
    F14&lt;292.5,"W",
    F14&lt;337.5,"NW"
  ), "No Direction"
)</f>
        <v>SW</v>
      </c>
    </row>
    <row r="15" spans="1:15" x14ac:dyDescent="0.2">
      <c r="A15" t="s">
        <v>11</v>
      </c>
      <c r="B15" t="s">
        <v>43</v>
      </c>
      <c r="C15">
        <v>16.6395462242562</v>
      </c>
      <c r="D15">
        <v>77.989330892448507</v>
      </c>
      <c r="E15">
        <f t="shared" si="0"/>
        <v>1158.0014281827673</v>
      </c>
      <c r="F15" s="34">
        <f t="shared" si="1"/>
        <v>238.34815128740377</v>
      </c>
      <c r="G15" t="str" cm="1">
        <f t="array" ref="G15">IFERROR(
  _xlfn.IFS(F15="Current City","No Direction",
    OR(F15&gt;=337.5,F15&lt;22.5),"N",
    F15&lt;67.5,"NE",
    F15&lt;112.5,"E",
    F15&lt;157.5,"SE",
    F15&lt;202.5,"S",
    F15&lt;247.5,"SW",
    F15&lt;292.5,"W",
    F15&lt;337.5,"NW"
  ), "No Direction"
)</f>
        <v>SW</v>
      </c>
    </row>
    <row r="16" spans="1:15" x14ac:dyDescent="0.2">
      <c r="A16" t="s">
        <v>11</v>
      </c>
      <c r="B16" t="s">
        <v>46</v>
      </c>
      <c r="C16">
        <v>17.889304978037998</v>
      </c>
      <c r="D16">
        <v>78.137789019033704</v>
      </c>
      <c r="E16">
        <f t="shared" si="0"/>
        <v>1071.0111635248979</v>
      </c>
      <c r="F16" s="34">
        <f t="shared" si="1"/>
        <v>244.01341251756332</v>
      </c>
      <c r="G16" t="str" cm="1">
        <f t="array" ref="G16">IFERROR(
  _xlfn.IFS(F16="Current City","No Direction",
    OR(F16&gt;=337.5,F16&lt;22.5),"N",
    F16&lt;67.5,"NE",
    F16&lt;112.5,"E",
    F16&lt;157.5,"SE",
    F16&lt;202.5,"S",
    F16&lt;247.5,"SW",
    F16&lt;292.5,"W",
    F16&lt;337.5,"NW"
  ), "No Direction"
)</f>
        <v>SW</v>
      </c>
    </row>
    <row r="17" spans="1:7" x14ac:dyDescent="0.2">
      <c r="A17" t="s">
        <v>11</v>
      </c>
      <c r="B17" t="s">
        <v>49</v>
      </c>
      <c r="C17">
        <v>17.1132505154639</v>
      </c>
      <c r="D17">
        <v>79.169844536082394</v>
      </c>
      <c r="E17">
        <f t="shared" si="0"/>
        <v>1025.0583901964171</v>
      </c>
      <c r="F17" s="34">
        <f t="shared" si="1"/>
        <v>236.78103058340943</v>
      </c>
      <c r="G17" t="str" cm="1">
        <f t="array" ref="G17">IFERROR(
  _xlfn.IFS(F17="Current City","No Direction",
    OR(F17&gt;=337.5,F17&lt;22.5),"N",
    F17&lt;67.5,"NE",
    F17&lt;112.5,"E",
    F17&lt;157.5,"SE",
    F17&lt;202.5,"S",
    F17&lt;247.5,"SW",
    F17&lt;292.5,"W",
    F17&lt;337.5,"NW"
  ), "No Direction"
)</f>
        <v>SW</v>
      </c>
    </row>
    <row r="18" spans="1:7" x14ac:dyDescent="0.2">
      <c r="A18" t="s">
        <v>11</v>
      </c>
      <c r="B18" t="s">
        <v>52</v>
      </c>
      <c r="C18">
        <v>13.8943440714218</v>
      </c>
      <c r="D18">
        <v>80.147026718124906</v>
      </c>
      <c r="E18">
        <f t="shared" si="0"/>
        <v>1201.6920922367513</v>
      </c>
      <c r="F18" s="34">
        <f t="shared" si="1"/>
        <v>219.67818237658187</v>
      </c>
      <c r="G18" t="str" cm="1">
        <f t="array" ref="G18">IFERROR(
  _xlfn.IFS(F18="Current City","No Direction",
    OR(F18&gt;=337.5,F18&lt;22.5),"N",
    F18&lt;67.5,"NE",
    F18&lt;112.5,"E",
    F18&lt;157.5,"SE",
    F18&lt;202.5,"S",
    F18&lt;247.5,"SW",
    F18&lt;292.5,"W",
    F18&lt;337.5,"NW"
  ), "No Direction"
)</f>
        <v>SW</v>
      </c>
    </row>
    <row r="19" spans="1:7" x14ac:dyDescent="0.2">
      <c r="A19" t="s">
        <v>11</v>
      </c>
      <c r="B19" t="s">
        <v>55</v>
      </c>
      <c r="C19">
        <v>18.429485849056601</v>
      </c>
      <c r="D19">
        <v>78.075234905660295</v>
      </c>
      <c r="E19">
        <f t="shared" si="0"/>
        <v>1049.0074119502035</v>
      </c>
      <c r="F19" s="34">
        <f t="shared" si="1"/>
        <v>247.07002871615981</v>
      </c>
      <c r="G19" t="str" cm="1">
        <f t="array" ref="G19">IFERROR(
  _xlfn.IFS(F19="Current City","No Direction",
    OR(F19&gt;=337.5,F19&lt;22.5),"N",
    F19&lt;67.5,"NE",
    F19&lt;112.5,"E",
    F19&lt;157.5,"SE",
    F19&lt;202.5,"S",
    F19&lt;247.5,"SW",
    F19&lt;292.5,"W",
    F19&lt;337.5,"NW"
  ), "No Direction"
)</f>
        <v>SW</v>
      </c>
    </row>
    <row r="20" spans="1:7" x14ac:dyDescent="0.2">
      <c r="A20" t="s">
        <v>11</v>
      </c>
      <c r="B20" t="s">
        <v>58</v>
      </c>
      <c r="C20">
        <v>15.4890390016017</v>
      </c>
      <c r="D20">
        <v>80.116657901761798</v>
      </c>
      <c r="E20">
        <f t="shared" si="0"/>
        <v>1068.583398174007</v>
      </c>
      <c r="F20" s="34">
        <f t="shared" si="1"/>
        <v>225.63797812543447</v>
      </c>
      <c r="G20" t="str" cm="1">
        <f t="array" ref="G20">IFERROR(
  _xlfn.IFS(F20="Current City","No Direction",
    OR(F20&gt;=337.5,F20&lt;22.5),"N",
    F20&lt;67.5,"NE",
    F20&lt;112.5,"E",
    F20&lt;157.5,"SE",
    F20&lt;202.5,"S",
    F20&lt;247.5,"SW",
    F20&lt;292.5,"W",
    F20&lt;337.5,"NW"
  ), "No Direction"
)</f>
        <v>SW</v>
      </c>
    </row>
    <row r="21" spans="1:7" x14ac:dyDescent="0.2">
      <c r="A21" t="s">
        <v>11</v>
      </c>
      <c r="B21" t="s">
        <v>61</v>
      </c>
      <c r="C21">
        <v>17.245235872576099</v>
      </c>
      <c r="D21">
        <v>78.057568282548402</v>
      </c>
      <c r="E21">
        <f t="shared" si="0"/>
        <v>1114.8247217858352</v>
      </c>
      <c r="F21" s="34">
        <f t="shared" si="1"/>
        <v>240.99448284496083</v>
      </c>
      <c r="G21" t="str" cm="1">
        <f t="array" ref="G21">IFERROR(
  _xlfn.IFS(F21="Current City","No Direction",
    OR(F21&gt;=337.5,F21&lt;22.5),"N",
    F21&lt;67.5,"NE",
    F21&lt;112.5,"E",
    F21&lt;157.5,"SE",
    F21&lt;202.5,"S",
    F21&lt;247.5,"SW",
    F21&lt;292.5,"W",
    F21&lt;337.5,"NW"
  ), "No Direction"
)</f>
        <v>SW</v>
      </c>
    </row>
    <row r="22" spans="1:7" x14ac:dyDescent="0.2">
      <c r="A22" t="s">
        <v>11</v>
      </c>
      <c r="B22" t="s">
        <v>64</v>
      </c>
      <c r="C22">
        <v>18.5709009986974</v>
      </c>
      <c r="D22">
        <v>84.258748140106704</v>
      </c>
      <c r="E22">
        <f t="shared" si="0"/>
        <v>522.36815449032929</v>
      </c>
      <c r="F22" s="34">
        <f t="shared" si="1"/>
        <v>216.88108486286012</v>
      </c>
      <c r="G22" t="str" cm="1">
        <f t="array" ref="G22">IFERROR(
  _xlfn.IFS(F22="Current City","No Direction",
    OR(F22&gt;=337.5,F22&lt;22.5),"N",
    F22&lt;67.5,"NE",
    F22&lt;112.5,"E",
    F22&lt;157.5,"SE",
    F22&lt;202.5,"S",
    F22&lt;247.5,"SW",
    F22&lt;292.5,"W",
    F22&lt;337.5,"NW"
  ), "No Direction"
)</f>
        <v>SW</v>
      </c>
    </row>
    <row r="23" spans="1:7" x14ac:dyDescent="0.2">
      <c r="A23" t="s">
        <v>11</v>
      </c>
      <c r="B23" t="s">
        <v>67</v>
      </c>
      <c r="C23">
        <v>17.646839033989298</v>
      </c>
      <c r="D23">
        <v>83.010140357781694</v>
      </c>
      <c r="E23">
        <f t="shared" si="0"/>
        <v>684.40595813550692</v>
      </c>
      <c r="F23" s="34">
        <f t="shared" si="1"/>
        <v>220.85591152470306</v>
      </c>
      <c r="G23" t="str" cm="1">
        <f t="array" ref="G23">IFERROR(
  _xlfn.IFS(F23="Current City","No Direction",
    OR(F23&gt;=337.5,F23&lt;22.5),"N",
    F23&lt;67.5,"NE",
    F23&lt;112.5,"E",
    F23&lt;157.5,"SE",
    F23&lt;202.5,"S",
    F23&lt;247.5,"SW",
    F23&lt;292.5,"W",
    F23&lt;337.5,"NW"
  ), "No Direction"
)</f>
        <v>SW</v>
      </c>
    </row>
    <row r="24" spans="1:7" x14ac:dyDescent="0.2">
      <c r="A24" t="s">
        <v>11</v>
      </c>
      <c r="B24" t="s">
        <v>69</v>
      </c>
      <c r="C24">
        <v>18.2832969603297</v>
      </c>
      <c r="D24">
        <v>83.459828541988699</v>
      </c>
      <c r="E24">
        <f t="shared" si="0"/>
        <v>599.59646475408465</v>
      </c>
      <c r="F24" s="34">
        <f t="shared" si="1"/>
        <v>221.64858621942977</v>
      </c>
      <c r="G24" t="str" cm="1">
        <f t="array" ref="G24">IFERROR(
  _xlfn.IFS(F24="Current City","No Direction",
    OR(F24&gt;=337.5,F24&lt;22.5),"N",
    F24&lt;67.5,"NE",
    F24&lt;112.5,"E",
    F24&lt;157.5,"SE",
    F24&lt;202.5,"S",
    F24&lt;247.5,"SW",
    F24&lt;292.5,"W",
    F24&lt;337.5,"NW"
  ), "No Direction"
)</f>
        <v>SW</v>
      </c>
    </row>
    <row r="25" spans="1:7" x14ac:dyDescent="0.2">
      <c r="A25" t="s">
        <v>11</v>
      </c>
      <c r="B25" t="s">
        <v>72</v>
      </c>
      <c r="C25">
        <v>18.017526086956501</v>
      </c>
      <c r="D25">
        <v>79.874220289855003</v>
      </c>
      <c r="E25">
        <f t="shared" si="0"/>
        <v>906.43136114383367</v>
      </c>
      <c r="F25" s="34">
        <f t="shared" si="1"/>
        <v>239.1781136262627</v>
      </c>
      <c r="G25" t="str" cm="1">
        <f t="array" ref="G25">IFERROR(
  _xlfn.IFS(F25="Current City","No Direction",
    OR(F25&gt;=337.5,F25&lt;22.5),"N",
    F25&lt;67.5,"NE",
    F25&lt;112.5,"E",
    F25&lt;157.5,"SE",
    F25&lt;202.5,"S",
    F25&lt;247.5,"SW",
    F25&lt;292.5,"W",
    F25&lt;337.5,"NW"
  ), "No Direction"
)</f>
        <v>SW</v>
      </c>
    </row>
    <row r="26" spans="1:7" x14ac:dyDescent="0.2">
      <c r="A26" t="s">
        <v>11</v>
      </c>
      <c r="B26" t="s">
        <v>75</v>
      </c>
      <c r="C26">
        <v>16.632979439252299</v>
      </c>
      <c r="D26">
        <v>81.459129906541904</v>
      </c>
      <c r="E26">
        <f t="shared" si="0"/>
        <v>877.72454427420848</v>
      </c>
      <c r="F26" s="34">
        <f t="shared" si="1"/>
        <v>224.55964497297401</v>
      </c>
      <c r="G26" t="str" cm="1">
        <f t="array" ref="G26">IFERROR(
  _xlfn.IFS(F26="Current City","No Direction",
    OR(F26&gt;=337.5,F26&lt;22.5),"N",
    F26&lt;67.5,"NE",
    F26&lt;112.5,"E",
    F26&lt;157.5,"SE",
    F26&lt;202.5,"S",
    F26&lt;247.5,"SW",
    F26&lt;292.5,"W",
    F26&lt;337.5,"NW"
  ), "No Direction"
)</f>
        <v>SW</v>
      </c>
    </row>
    <row r="27" spans="1:7" x14ac:dyDescent="0.2">
      <c r="A27" t="s">
        <v>78</v>
      </c>
      <c r="B27" t="s">
        <v>79</v>
      </c>
      <c r="C27">
        <v>27.360484793388402</v>
      </c>
      <c r="D27">
        <v>96.375526446281</v>
      </c>
      <c r="E27">
        <f t="shared" si="0"/>
        <v>1076.947054501793</v>
      </c>
      <c r="F27" s="34">
        <f t="shared" si="1"/>
        <v>57.033020591129741</v>
      </c>
      <c r="G27" t="str" cm="1">
        <f t="array" ref="G27">IFERROR(
  _xlfn.IFS(F27="Current City","No Direction",
    OR(F27&gt;=337.5,F27&lt;22.5),"N",
    F27&lt;67.5,"NE",
    F27&lt;112.5,"E",
    F27&lt;157.5,"SE",
    F27&lt;202.5,"S",
    F27&lt;247.5,"SW",
    F27&lt;292.5,"W",
    F27&lt;337.5,"NW"
  ), "No Direction"
)</f>
        <v>NE</v>
      </c>
    </row>
    <row r="28" spans="1:7" x14ac:dyDescent="0.2">
      <c r="A28" t="s">
        <v>78</v>
      </c>
      <c r="B28" t="s">
        <v>82</v>
      </c>
      <c r="C28">
        <v>27.371194055943999</v>
      </c>
      <c r="D28">
        <v>93.047414860139895</v>
      </c>
      <c r="E28">
        <f t="shared" si="0"/>
        <v>809.35652057479808</v>
      </c>
      <c r="F28" s="34">
        <f t="shared" si="1"/>
        <v>45.261453753593969</v>
      </c>
      <c r="G28" t="str" cm="1">
        <f t="array" ref="G28">IFERROR(
  _xlfn.IFS(F28="Current City","No Direction",
    OR(F28&gt;=337.5,F28&lt;22.5),"N",
    F28&lt;67.5,"NE",
    F28&lt;112.5,"E",
    F28&lt;157.5,"SE",
    F28&lt;202.5,"S",
    F28&lt;247.5,"SW",
    F28&lt;292.5,"W",
    F28&lt;337.5,"NW"
  ), "No Direction"
)</f>
        <v>NE</v>
      </c>
    </row>
    <row r="29" spans="1:7" x14ac:dyDescent="0.2">
      <c r="A29" t="s">
        <v>78</v>
      </c>
      <c r="B29" t="s">
        <v>85</v>
      </c>
      <c r="C29">
        <v>28.153823529411699</v>
      </c>
      <c r="D29">
        <v>95.064992260061899</v>
      </c>
      <c r="E29">
        <f t="shared" si="0"/>
        <v>1017.5534020364084</v>
      </c>
      <c r="F29" s="34">
        <f t="shared" si="1"/>
        <v>49.081644429050243</v>
      </c>
      <c r="G29" t="str" cm="1">
        <f t="array" ref="G29">IFERROR(
  _xlfn.IFS(F29="Current City","No Direction",
    OR(F29&gt;=337.5,F29&lt;22.5),"N",
    F29&lt;67.5,"NE",
    F29&lt;112.5,"E",
    F29&lt;157.5,"SE",
    F29&lt;202.5,"S",
    F29&lt;247.5,"SW",
    F29&lt;292.5,"W",
    F29&lt;337.5,"NW"
  ), "No Direction"
)</f>
        <v>NE</v>
      </c>
    </row>
    <row r="30" spans="1:7" x14ac:dyDescent="0.2">
      <c r="A30" t="s">
        <v>78</v>
      </c>
      <c r="B30" t="s">
        <v>88</v>
      </c>
      <c r="C30">
        <v>28.048533518005499</v>
      </c>
      <c r="D30">
        <v>93.245319944598293</v>
      </c>
      <c r="E30">
        <f t="shared" si="0"/>
        <v>875.4472489438532</v>
      </c>
      <c r="F30" s="34">
        <f t="shared" si="1"/>
        <v>42.459649465627763</v>
      </c>
      <c r="G30" t="str" cm="1">
        <f t="array" ref="G30">IFERROR(
  _xlfn.IFS(F30="Current City","No Direction",
    OR(F30&gt;=337.5,F30&lt;22.5),"N",
    F30&lt;67.5,"NE",
    F30&lt;112.5,"E",
    F30&lt;157.5,"SE",
    F30&lt;202.5,"S",
    F30&lt;247.5,"SW",
    F30&lt;292.5,"W",
    F30&lt;337.5,"NW"
  ), "No Direction"
)</f>
        <v>NE</v>
      </c>
    </row>
    <row r="31" spans="1:7" x14ac:dyDescent="0.2">
      <c r="A31" t="s">
        <v>78</v>
      </c>
      <c r="B31" t="s">
        <v>91</v>
      </c>
      <c r="C31">
        <v>27.946785273972601</v>
      </c>
      <c r="D31">
        <v>96.596707705479403</v>
      </c>
      <c r="E31">
        <f t="shared" si="0"/>
        <v>1128.6018944555833</v>
      </c>
      <c r="F31" s="34">
        <f t="shared" si="1"/>
        <v>54.664237464236521</v>
      </c>
      <c r="G31" t="str" cm="1">
        <f t="array" ref="G31">IFERROR(
  _xlfn.IFS(F31="Current City","No Direction",
    OR(F31&gt;=337.5,F31&lt;22.5),"N",
    F31&lt;67.5,"NE",
    F31&lt;112.5,"E",
    F31&lt;157.5,"SE",
    F31&lt;202.5,"S",
    F31&lt;247.5,"SW",
    F31&lt;292.5,"W",
    F31&lt;337.5,"NW"
  ), "No Direction"
)</f>
        <v>NE</v>
      </c>
    </row>
    <row r="32" spans="1:7" x14ac:dyDescent="0.2">
      <c r="A32" t="s">
        <v>78</v>
      </c>
      <c r="B32" t="s">
        <v>94</v>
      </c>
      <c r="C32">
        <v>28.326517301037999</v>
      </c>
      <c r="D32">
        <v>95.765673356401393</v>
      </c>
      <c r="E32">
        <f t="shared" si="0"/>
        <v>1084.0626465481141</v>
      </c>
      <c r="F32" s="34">
        <f t="shared" si="1"/>
        <v>50.48577306909425</v>
      </c>
      <c r="G32" t="str" cm="1">
        <f t="array" ref="G32">IFERROR(
  _xlfn.IFS(F32="Current City","No Direction",
    OR(F32&gt;=337.5,F32&lt;22.5),"N",
    F32&lt;67.5,"NE",
    F32&lt;112.5,"E",
    F32&lt;157.5,"SE",
    F32&lt;202.5,"S",
    F32&lt;247.5,"SW",
    F32&lt;292.5,"W",
    F32&lt;337.5,"NW"
  ), "No Direction"
)</f>
        <v>NE</v>
      </c>
    </row>
    <row r="33" spans="1:7" x14ac:dyDescent="0.2">
      <c r="A33" t="s">
        <v>78</v>
      </c>
      <c r="B33" t="s">
        <v>97</v>
      </c>
      <c r="C33">
        <v>27.708492972972898</v>
      </c>
      <c r="D33">
        <v>93.962261081081095</v>
      </c>
      <c r="E33">
        <f t="shared" si="0"/>
        <v>902.02601540618559</v>
      </c>
      <c r="F33" s="34">
        <f t="shared" si="1"/>
        <v>47.339998206357677</v>
      </c>
      <c r="G33" t="str" cm="1">
        <f t="array" ref="G33">IFERROR(
  _xlfn.IFS(F33="Current City","No Direction",
    OR(F33&gt;=337.5,F33&lt;22.5),"N",
    F33&lt;67.5,"NE",
    F33&lt;112.5,"E",
    F33&lt;157.5,"SE",
    F33&lt;202.5,"S",
    F33&lt;247.5,"SW",
    F33&lt;292.5,"W",
    F33&lt;337.5,"NW"
  ), "No Direction"
)</f>
        <v>NE</v>
      </c>
    </row>
    <row r="34" spans="1:7" x14ac:dyDescent="0.2">
      <c r="A34" t="s">
        <v>78</v>
      </c>
      <c r="B34" t="s">
        <v>100</v>
      </c>
      <c r="C34">
        <v>27.273529716981098</v>
      </c>
      <c r="D34">
        <v>93.544681839622598</v>
      </c>
      <c r="E34">
        <f t="shared" si="0"/>
        <v>839.46969946253625</v>
      </c>
      <c r="F34" s="34">
        <f t="shared" si="1"/>
        <v>48.071086994810116</v>
      </c>
      <c r="G34" t="str" cm="1">
        <f t="array" ref="G34">IFERROR(
  _xlfn.IFS(F34="Current City","No Direction",
    OR(F34&gt;=337.5,F34&lt;22.5),"N",
    F34&lt;67.5,"NE",
    F34&lt;112.5,"E",
    F34&lt;157.5,"SE",
    F34&lt;202.5,"S",
    F34&lt;247.5,"SW",
    F34&lt;292.5,"W",
    F34&lt;337.5,"NW"
  ), "No Direction"
)</f>
        <v>NE</v>
      </c>
    </row>
    <row r="35" spans="1:7" x14ac:dyDescent="0.2">
      <c r="A35" t="s">
        <v>78</v>
      </c>
      <c r="B35" t="s">
        <v>103</v>
      </c>
      <c r="C35">
        <v>27.680683962264101</v>
      </c>
      <c r="D35">
        <v>91.825042452830104</v>
      </c>
      <c r="E35">
        <f t="shared" si="0"/>
        <v>751.46940149599959</v>
      </c>
      <c r="F35" s="34">
        <f t="shared" si="1"/>
        <v>37.065648867062976</v>
      </c>
      <c r="G35" t="str" cm="1">
        <f t="array" ref="G35">IFERROR(
  _xlfn.IFS(F35="Current City","No Direction",
    OR(F35&gt;=337.5,F35&lt;22.5),"N",
    F35&lt;67.5,"NE",
    F35&lt;112.5,"E",
    F35&lt;157.5,"SE",
    F35&lt;202.5,"S",
    F35&lt;247.5,"SW",
    F35&lt;292.5,"W",
    F35&lt;337.5,"NW"
  ), "No Direction"
)</f>
        <v>NE</v>
      </c>
    </row>
    <row r="36" spans="1:7" x14ac:dyDescent="0.2">
      <c r="A36" t="s">
        <v>78</v>
      </c>
      <c r="B36" t="s">
        <v>106</v>
      </c>
      <c r="C36">
        <v>26.944062295081899</v>
      </c>
      <c r="D36">
        <v>95.414703278688606</v>
      </c>
      <c r="E36">
        <f t="shared" si="0"/>
        <v>971.40729190994568</v>
      </c>
      <c r="F36" s="34">
        <f t="shared" si="1"/>
        <v>56.665792649749733</v>
      </c>
      <c r="G36" t="str" cm="1">
        <f t="array" ref="G36">IFERROR(
  _xlfn.IFS(F36="Current City","No Direction",
    OR(F36&gt;=337.5,F36&lt;22.5),"N",
    F36&lt;67.5,"NE",
    F36&lt;112.5,"E",
    F36&lt;157.5,"SE",
    F36&lt;202.5,"S",
    F36&lt;247.5,"SW",
    F36&lt;292.5,"W",
    F36&lt;337.5,"NW"
  ), "No Direction"
)</f>
        <v>NE</v>
      </c>
    </row>
    <row r="37" spans="1:7" x14ac:dyDescent="0.2">
      <c r="A37" t="s">
        <v>78</v>
      </c>
      <c r="B37" t="s">
        <v>109</v>
      </c>
      <c r="C37">
        <v>29.0199478365384</v>
      </c>
      <c r="D37">
        <v>95.987763942307595</v>
      </c>
      <c r="E37">
        <f t="shared" si="0"/>
        <v>1147.8108511326245</v>
      </c>
      <c r="F37" s="34">
        <f t="shared" si="1"/>
        <v>47.982340472693124</v>
      </c>
      <c r="G37" t="str" cm="1">
        <f t="array" ref="G37">IFERROR(
  _xlfn.IFS(F37="Current City","No Direction",
    OR(F37&gt;=337.5,F37&lt;22.5),"N",
    F37&lt;67.5,"NE",
    F37&lt;112.5,"E",
    F37&lt;157.5,"SE",
    F37&lt;202.5,"S",
    F37&lt;247.5,"SW",
    F37&lt;292.5,"W",
    F37&lt;337.5,"NW"
  ), "No Direction"
)</f>
        <v>NE</v>
      </c>
    </row>
    <row r="38" spans="1:7" x14ac:dyDescent="0.2">
      <c r="A38" t="s">
        <v>78</v>
      </c>
      <c r="B38" t="s">
        <v>112</v>
      </c>
      <c r="C38">
        <v>28.830924489795901</v>
      </c>
      <c r="D38">
        <v>95.001557653061198</v>
      </c>
      <c r="E38">
        <f t="shared" si="0"/>
        <v>1060.4440058491971</v>
      </c>
      <c r="F38" s="34">
        <f t="shared" si="1"/>
        <v>45.635752856145643</v>
      </c>
      <c r="G38" t="str" cm="1">
        <f t="array" ref="G38">IFERROR(
  _xlfn.IFS(F38="Current City","No Direction",
    OR(F38&gt;=337.5,F38&lt;22.5),"N",
    F38&lt;67.5,"NE",
    F38&lt;112.5,"E",
    F38&lt;157.5,"SE",
    F38&lt;202.5,"S",
    F38&lt;247.5,"SW",
    F38&lt;292.5,"W",
    F38&lt;337.5,"NW"
  ), "No Direction"
)</f>
        <v>NE</v>
      </c>
    </row>
    <row r="39" spans="1:7" x14ac:dyDescent="0.2">
      <c r="A39" t="s">
        <v>78</v>
      </c>
      <c r="B39" t="s">
        <v>114</v>
      </c>
      <c r="C39">
        <v>28.2771965665235</v>
      </c>
      <c r="D39">
        <v>93.899143562231799</v>
      </c>
      <c r="E39">
        <f t="shared" si="0"/>
        <v>939.22321296503173</v>
      </c>
      <c r="F39" s="34">
        <f t="shared" si="1"/>
        <v>44.121737428525194</v>
      </c>
      <c r="G39" t="str" cm="1">
        <f t="array" ref="G39">IFERROR(
  _xlfn.IFS(F39="Current City","No Direction",
    OR(F39&gt;=337.5,F39&lt;22.5),"N",
    F39&lt;67.5,"NE",
    F39&lt;112.5,"E",
    F39&lt;157.5,"SE",
    F39&lt;202.5,"S",
    F39&lt;247.5,"SW",
    F39&lt;292.5,"W",
    F39&lt;337.5,"NW"
  ), "No Direction"
)</f>
        <v>NE</v>
      </c>
    </row>
    <row r="40" spans="1:7" x14ac:dyDescent="0.2">
      <c r="A40" t="s">
        <v>78</v>
      </c>
      <c r="B40" t="s">
        <v>117</v>
      </c>
      <c r="C40">
        <v>27.464865822784802</v>
      </c>
      <c r="D40">
        <v>92.650157504520806</v>
      </c>
      <c r="E40">
        <f t="shared" si="0"/>
        <v>788.14772674704716</v>
      </c>
      <c r="F40" s="34">
        <f t="shared" si="1"/>
        <v>42.77363138281288</v>
      </c>
      <c r="G40" t="str" cm="1">
        <f t="array" ref="G40">IFERROR(
  _xlfn.IFS(F40="Current City","No Direction",
    OR(F40&gt;=337.5,F40&lt;22.5),"N",
    F40&lt;67.5,"NE",
    F40&lt;112.5,"E",
    F40&lt;157.5,"SE",
    F40&lt;202.5,"S",
    F40&lt;247.5,"SW",
    F40&lt;292.5,"W",
    F40&lt;337.5,"NW"
  ), "No Direction"
)</f>
        <v>NE</v>
      </c>
    </row>
    <row r="41" spans="1:7" x14ac:dyDescent="0.2">
      <c r="A41" t="s">
        <v>78</v>
      </c>
      <c r="B41" t="s">
        <v>120</v>
      </c>
      <c r="C41">
        <v>28.1062969202898</v>
      </c>
      <c r="D41">
        <v>94.535103442028998</v>
      </c>
      <c r="E41">
        <f t="shared" si="0"/>
        <v>973.59279551953921</v>
      </c>
      <c r="F41" s="34">
        <f t="shared" si="1"/>
        <v>47.451531038186374</v>
      </c>
      <c r="G41" t="str" cm="1">
        <f t="array" ref="G41">IFERROR(
  _xlfn.IFS(F41="Current City","No Direction",
    OR(F41&gt;=337.5,F41&lt;22.5),"N",
    F41&lt;67.5,"NE",
    F41&lt;112.5,"E",
    F41&lt;157.5,"SE",
    F41&lt;202.5,"S",
    F41&lt;247.5,"SW",
    F41&lt;292.5,"W",
    F41&lt;337.5,"NW"
  ), "No Direction"
)</f>
        <v>NE</v>
      </c>
    </row>
    <row r="42" spans="1:7" x14ac:dyDescent="0.2">
      <c r="A42" t="s">
        <v>123</v>
      </c>
      <c r="B42" t="s">
        <v>124</v>
      </c>
      <c r="C42">
        <v>26.427872264630999</v>
      </c>
      <c r="D42">
        <v>90.979120101781106</v>
      </c>
      <c r="E42">
        <f t="shared" si="0"/>
        <v>590.83079564847083</v>
      </c>
      <c r="F42" s="34">
        <f t="shared" si="1"/>
        <v>39.207822692139814</v>
      </c>
      <c r="G42" t="str" cm="1">
        <f t="array" ref="G42">IFERROR(
  _xlfn.IFS(F42="Current City","No Direction",
    OR(F42&gt;=337.5,F42&lt;22.5),"N",
    F42&lt;67.5,"NE",
    F42&lt;112.5,"E",
    F42&lt;157.5,"SE",
    F42&lt;202.5,"S",
    F42&lt;247.5,"SW",
    F42&lt;292.5,"W",
    F42&lt;337.5,"NW"
  ), "No Direction"
)</f>
        <v>NE</v>
      </c>
    </row>
    <row r="43" spans="1:7" x14ac:dyDescent="0.2">
      <c r="A43" t="s">
        <v>123</v>
      </c>
      <c r="B43" t="s">
        <v>127</v>
      </c>
      <c r="C43">
        <v>26.450125219941299</v>
      </c>
      <c r="D43">
        <v>90.673429618768395</v>
      </c>
      <c r="E43">
        <f t="shared" si="0"/>
        <v>573.39450986338773</v>
      </c>
      <c r="F43" s="34">
        <f t="shared" si="1"/>
        <v>36.736452242322173</v>
      </c>
      <c r="G43" t="str" cm="1">
        <f t="array" ref="G43">IFERROR(
  _xlfn.IFS(F43="Current City","No Direction",
    OR(F43&gt;=337.5,F43&lt;22.5),"N",
    F43&lt;67.5,"NE",
    F43&lt;112.5,"E",
    F43&lt;157.5,"SE",
    F43&lt;202.5,"S",
    F43&lt;247.5,"SW",
    F43&lt;292.5,"W",
    F43&lt;337.5,"NW"
  ), "No Direction"
)</f>
        <v>NE</v>
      </c>
    </row>
    <row r="44" spans="1:7" x14ac:dyDescent="0.2">
      <c r="A44" t="s">
        <v>123</v>
      </c>
      <c r="B44" t="s">
        <v>129</v>
      </c>
      <c r="C44">
        <v>24.815570668692999</v>
      </c>
      <c r="D44">
        <v>92.868496504559204</v>
      </c>
      <c r="E44">
        <f t="shared" si="0"/>
        <v>636.22892306646816</v>
      </c>
      <c r="F44" s="34">
        <f t="shared" si="1"/>
        <v>63.423794137048048</v>
      </c>
      <c r="G44" t="str" cm="1">
        <f t="array" ref="G44">IFERROR(
  _xlfn.IFS(F44="Current City","No Direction",
    OR(F44&gt;=337.5,F44&lt;22.5),"N",
    F44&lt;67.5,"NE",
    F44&lt;112.5,"E",
    F44&lt;157.5,"SE",
    F44&lt;202.5,"S",
    F44&lt;247.5,"SW",
    F44&lt;292.5,"W",
    F44&lt;337.5,"NW"
  ), "No Direction"
)</f>
        <v>NE</v>
      </c>
    </row>
    <row r="45" spans="1:7" x14ac:dyDescent="0.2">
      <c r="A45" t="s">
        <v>123</v>
      </c>
      <c r="B45" t="s">
        <v>132</v>
      </c>
      <c r="C45">
        <v>26.584632159624402</v>
      </c>
      <c r="D45">
        <v>92.041413380281497</v>
      </c>
      <c r="E45">
        <f t="shared" si="0"/>
        <v>676.77776291451278</v>
      </c>
      <c r="F45" s="34">
        <f t="shared" si="1"/>
        <v>45.014846377467904</v>
      </c>
      <c r="G45" t="str" cm="1">
        <f t="array" ref="G45">IFERROR(
  _xlfn.IFS(F45="Current City","No Direction",
    OR(F45&gt;=337.5,F45&lt;22.5),"N",
    F45&lt;67.5,"NE",
    F45&lt;112.5,"E",
    F45&lt;157.5,"SE",
    F45&lt;202.5,"S",
    F45&lt;247.5,"SW",
    F45&lt;292.5,"W",
    F45&lt;337.5,"NW"
  ), "No Direction"
)</f>
        <v>NE</v>
      </c>
    </row>
    <row r="46" spans="1:7" x14ac:dyDescent="0.2">
      <c r="A46" t="s">
        <v>123</v>
      </c>
      <c r="B46" t="s">
        <v>135</v>
      </c>
      <c r="C46">
        <v>27.586533438485802</v>
      </c>
      <c r="D46">
        <v>94.713369085173497</v>
      </c>
      <c r="E46">
        <f t="shared" si="0"/>
        <v>952.08908614148515</v>
      </c>
      <c r="F46" s="34">
        <f t="shared" si="1"/>
        <v>50.823383886173815</v>
      </c>
      <c r="G46" t="str" cm="1">
        <f t="array" ref="G46">IFERROR(
  _xlfn.IFS(F46="Current City","No Direction",
    OR(F46&gt;=337.5,F46&lt;22.5),"N",
    F46&lt;67.5,"NE",
    F46&lt;112.5,"E",
    F46&lt;157.5,"SE",
    F46&lt;202.5,"S",
    F46&lt;247.5,"SW",
    F46&lt;292.5,"W",
    F46&lt;337.5,"NW"
  ), "No Direction"
)</f>
        <v>NE</v>
      </c>
    </row>
    <row r="47" spans="1:7" x14ac:dyDescent="0.2">
      <c r="A47" t="s">
        <v>123</v>
      </c>
      <c r="B47" t="s">
        <v>138</v>
      </c>
      <c r="C47">
        <v>26.045061484453299</v>
      </c>
      <c r="D47">
        <v>89.985008224673905</v>
      </c>
      <c r="E47">
        <f t="shared" si="0"/>
        <v>496.3283412133664</v>
      </c>
      <c r="F47" s="34">
        <f t="shared" si="1"/>
        <v>33.688845910592875</v>
      </c>
      <c r="G47" t="str" cm="1">
        <f t="array" ref="G47">IFERROR(
  _xlfn.IFS(F47="Current City","No Direction",
    OR(F47&gt;=337.5,F47&lt;22.5),"N",
    F47&lt;67.5,"NE",
    F47&lt;112.5,"E",
    F47&lt;157.5,"SE",
    F47&lt;202.5,"S",
    F47&lt;247.5,"SW",
    F47&lt;292.5,"W",
    F47&lt;337.5,"NW"
  ), "No Direction"
)</f>
        <v>NE</v>
      </c>
    </row>
    <row r="48" spans="1:7" x14ac:dyDescent="0.2">
      <c r="A48" t="s">
        <v>123</v>
      </c>
      <c r="B48" t="s">
        <v>141</v>
      </c>
      <c r="C48">
        <v>27.306122844827499</v>
      </c>
      <c r="D48">
        <v>95.099828232758696</v>
      </c>
      <c r="E48">
        <f t="shared" si="0"/>
        <v>965.84516075170131</v>
      </c>
      <c r="F48" s="34">
        <f t="shared" si="1"/>
        <v>53.660487273822127</v>
      </c>
      <c r="G48" t="str" cm="1">
        <f t="array" ref="G48">IFERROR(
  _xlfn.IFS(F48="Current City","No Direction",
    OR(F48&gt;=337.5,F48&lt;22.5),"N",
    F48&lt;67.5,"NE",
    F48&lt;112.5,"E",
    F48&lt;157.5,"SE",
    F48&lt;202.5,"S",
    F48&lt;247.5,"SW",
    F48&lt;292.5,"W",
    F48&lt;337.5,"NW"
  ), "No Direction"
)</f>
        <v>NE</v>
      </c>
    </row>
    <row r="49" spans="1:7" x14ac:dyDescent="0.2">
      <c r="A49" t="s">
        <v>123</v>
      </c>
      <c r="B49" t="s">
        <v>143</v>
      </c>
      <c r="C49">
        <v>26.017277777777799</v>
      </c>
      <c r="D49">
        <v>90.598698915989104</v>
      </c>
      <c r="E49">
        <f t="shared" si="0"/>
        <v>531.4724269847743</v>
      </c>
      <c r="F49" s="34">
        <f t="shared" si="1"/>
        <v>39.313037510953734</v>
      </c>
      <c r="G49" t="str" cm="1">
        <f t="array" ref="G49">IFERROR(
  _xlfn.IFS(F49="Current City","No Direction",
    OR(F49&gt;=337.5,F49&lt;22.5),"N",
    F49&lt;67.5,"NE",
    F49&lt;112.5,"E",
    F49&lt;157.5,"SE",
    F49&lt;202.5,"S",
    F49&lt;247.5,"SW",
    F49&lt;292.5,"W",
    F49&lt;337.5,"NW"
  ), "No Direction"
)</f>
        <v>NE</v>
      </c>
    </row>
    <row r="50" spans="1:7" x14ac:dyDescent="0.2">
      <c r="A50" t="s">
        <v>123</v>
      </c>
      <c r="B50" t="s">
        <v>146</v>
      </c>
      <c r="C50">
        <v>26.377219709794399</v>
      </c>
      <c r="D50">
        <v>93.825833978234598</v>
      </c>
      <c r="E50">
        <f t="shared" si="0"/>
        <v>803.66535889054637</v>
      </c>
      <c r="F50" s="34">
        <f t="shared" si="1"/>
        <v>54.867512014076965</v>
      </c>
      <c r="G50" t="str" cm="1">
        <f t="array" ref="G50">IFERROR(
  _xlfn.IFS(F50="Current City","No Direction",
    OR(F50&gt;=337.5,F50&lt;22.5),"N",
    F50&lt;67.5,"NE",
    F50&lt;112.5,"E",
    F50&lt;157.5,"SE",
    F50&lt;202.5,"S",
    F50&lt;247.5,"SW",
    F50&lt;292.5,"W",
    F50&lt;337.5,"NW"
  ), "No Direction"
)</f>
        <v>NE</v>
      </c>
    </row>
    <row r="51" spans="1:7" x14ac:dyDescent="0.2">
      <c r="A51" t="s">
        <v>123</v>
      </c>
      <c r="B51" t="s">
        <v>149</v>
      </c>
      <c r="C51">
        <v>24.457496089385401</v>
      </c>
      <c r="D51">
        <v>92.591546648044698</v>
      </c>
      <c r="E51">
        <f t="shared" si="0"/>
        <v>594.81090571450238</v>
      </c>
      <c r="F51" s="34">
        <f t="shared" si="1"/>
        <v>65.808471603311546</v>
      </c>
      <c r="G51" t="str" cm="1">
        <f t="array" ref="G51">IFERROR(
  _xlfn.IFS(F51="Current City","No Direction",
    OR(F51&gt;=337.5,F51&lt;22.5),"N",
    F51&lt;67.5,"NE",
    F51&lt;112.5,"E",
    F51&lt;157.5,"SE",
    F51&lt;202.5,"S",
    F51&lt;247.5,"SW",
    F51&lt;292.5,"W",
    F51&lt;337.5,"NW"
  ), "No Direction"
)</f>
        <v>NE</v>
      </c>
    </row>
    <row r="52" spans="1:7" x14ac:dyDescent="0.2">
      <c r="A52" t="s">
        <v>123</v>
      </c>
      <c r="B52" t="s">
        <v>152</v>
      </c>
      <c r="C52">
        <v>26.7624482401656</v>
      </c>
      <c r="D52">
        <v>94.3019772256728</v>
      </c>
      <c r="E52">
        <f t="shared" si="0"/>
        <v>866.64877154827445</v>
      </c>
      <c r="F52" s="34">
        <f t="shared" si="1"/>
        <v>54.144494013939379</v>
      </c>
      <c r="G52" t="str" cm="1">
        <f t="array" ref="G52">IFERROR(
  _xlfn.IFS(F52="Current City","No Direction",
    OR(F52&gt;=337.5,F52&lt;22.5),"N",
    F52&lt;67.5,"NE",
    F52&lt;112.5,"E",
    F52&lt;157.5,"SE",
    F52&lt;202.5,"S",
    F52&lt;247.5,"SW",
    F52&lt;292.5,"W",
    F52&lt;337.5,"NW"
  ), "No Direction"
)</f>
        <v>NE</v>
      </c>
    </row>
    <row r="53" spans="1:7" x14ac:dyDescent="0.2">
      <c r="A53" t="s">
        <v>123</v>
      </c>
      <c r="B53" t="s">
        <v>155</v>
      </c>
      <c r="C53">
        <v>26.1709394520548</v>
      </c>
      <c r="D53">
        <v>91.588632739725895</v>
      </c>
      <c r="E53">
        <f t="shared" si="0"/>
        <v>612.4196880968326</v>
      </c>
      <c r="F53" s="34">
        <f t="shared" si="1"/>
        <v>45.275217673752479</v>
      </c>
      <c r="G53" t="str" cm="1">
        <f t="array" ref="G53">IFERROR(
  _xlfn.IFS(F53="Current City","No Direction",
    OR(F53&gt;=337.5,F53&lt;22.5),"N",
    F53&lt;67.5,"NE",
    F53&lt;112.5,"E",
    F53&lt;157.5,"SE",
    F53&lt;202.5,"S",
    F53&lt;247.5,"SW",
    F53&lt;292.5,"W",
    F53&lt;337.5,"NW"
  ), "No Direction"
)</f>
        <v>NE</v>
      </c>
    </row>
    <row r="54" spans="1:7" x14ac:dyDescent="0.2">
      <c r="A54" t="s">
        <v>123</v>
      </c>
      <c r="B54" t="s">
        <v>158</v>
      </c>
      <c r="C54">
        <v>26.089664545980298</v>
      </c>
      <c r="D54">
        <v>93.115365702718293</v>
      </c>
      <c r="E54">
        <f t="shared" si="0"/>
        <v>726.81832004260207</v>
      </c>
      <c r="F54" s="34">
        <f t="shared" si="1"/>
        <v>53.983085399294396</v>
      </c>
      <c r="G54" t="str" cm="1">
        <f t="array" ref="G54">IFERROR(
  _xlfn.IFS(F54="Current City","No Direction",
    OR(F54&gt;=337.5,F54&lt;22.5),"N",
    F54&lt;67.5,"NE",
    F54&lt;112.5,"E",
    F54&lt;157.5,"SE",
    F54&lt;202.5,"S",
    F54&lt;247.5,"SW",
    F54&lt;292.5,"W",
    F54&lt;337.5,"NW"
  ), "No Direction"
)</f>
        <v>NE</v>
      </c>
    </row>
    <row r="55" spans="1:7" x14ac:dyDescent="0.2">
      <c r="A55" t="s">
        <v>123</v>
      </c>
      <c r="B55" t="s">
        <v>161</v>
      </c>
      <c r="C55">
        <v>24.6966071225071</v>
      </c>
      <c r="D55">
        <v>92.367949857549704</v>
      </c>
      <c r="E55">
        <f t="shared" si="0"/>
        <v>584.80593179057212</v>
      </c>
      <c r="F55" s="34">
        <f t="shared" si="1"/>
        <v>62.555089233684214</v>
      </c>
      <c r="G55" t="str" cm="1">
        <f t="array" ref="G55">IFERROR(
  _xlfn.IFS(F55="Current City","No Direction",
    OR(F55&gt;=337.5,F55&lt;22.5),"N",
    F55&lt;67.5,"NE",
    F55&lt;112.5,"E",
    F55&lt;157.5,"SE",
    F55&lt;202.5,"S",
    F55&lt;247.5,"SW",
    F55&lt;292.5,"W",
    F55&lt;337.5,"NW"
  ), "No Direction"
)</f>
        <v>NE</v>
      </c>
    </row>
    <row r="56" spans="1:7" x14ac:dyDescent="0.2">
      <c r="A56" t="s">
        <v>123</v>
      </c>
      <c r="B56" t="s">
        <v>164</v>
      </c>
      <c r="C56">
        <v>26.4972466357308</v>
      </c>
      <c r="D56">
        <v>90.139974709976798</v>
      </c>
      <c r="E56">
        <f t="shared" si="0"/>
        <v>546.65527040705831</v>
      </c>
      <c r="F56" s="34">
        <f t="shared" si="1"/>
        <v>32.003919583233824</v>
      </c>
      <c r="G56" t="str" cm="1">
        <f t="array" ref="G56">IFERROR(
  _xlfn.IFS(F56="Current City","No Direction",
    OR(F56&gt;=337.5,F56&lt;22.5),"N",
    F56&lt;67.5,"NE",
    F56&lt;112.5,"E",
    F56&lt;157.5,"SE",
    F56&lt;202.5,"S",
    F56&lt;247.5,"SW",
    F56&lt;292.5,"W",
    F56&lt;337.5,"NW"
  ), "No Direction"
)</f>
        <v>NE</v>
      </c>
    </row>
    <row r="57" spans="1:7" x14ac:dyDescent="0.2">
      <c r="A57" t="s">
        <v>123</v>
      </c>
      <c r="B57" t="s">
        <v>167</v>
      </c>
      <c r="C57">
        <v>27.141288059701399</v>
      </c>
      <c r="D57">
        <v>94.077594925373205</v>
      </c>
      <c r="E57">
        <f t="shared" si="0"/>
        <v>872.19152304108229</v>
      </c>
      <c r="F57" s="34">
        <f t="shared" si="1"/>
        <v>51.016483587971322</v>
      </c>
      <c r="G57" t="str" cm="1">
        <f t="array" ref="G57">IFERROR(
  _xlfn.IFS(F57="Current City","No Direction",
    OR(F57&gt;=337.5,F57&lt;22.5),"N",
    F57&lt;67.5,"NE",
    F57&lt;112.5,"E",
    F57&lt;157.5,"SE",
    F57&lt;202.5,"S",
    F57&lt;247.5,"SW",
    F57&lt;292.5,"W",
    F57&lt;337.5,"NW"
  ), "No Direction"
)</f>
        <v>NE</v>
      </c>
    </row>
    <row r="58" spans="1:7" x14ac:dyDescent="0.2">
      <c r="A58" t="s">
        <v>123</v>
      </c>
      <c r="B58" t="s">
        <v>169</v>
      </c>
      <c r="C58">
        <v>26.2465004672897</v>
      </c>
      <c r="D58">
        <v>92.219499532710202</v>
      </c>
      <c r="E58">
        <f t="shared" si="0"/>
        <v>665.31545503748953</v>
      </c>
      <c r="F58" s="34">
        <f t="shared" si="1"/>
        <v>48.433663506063738</v>
      </c>
      <c r="G58" t="str" cm="1">
        <f t="array" ref="G58">IFERROR(
  _xlfn.IFS(F58="Current City","No Direction",
    OR(F58&gt;=337.5,F58&lt;22.5),"N",
    F58&lt;67.5,"NE",
    F58&lt;112.5,"E",
    F58&lt;157.5,"SE",
    F58&lt;202.5,"S",
    F58&lt;247.5,"SW",
    F58&lt;292.5,"W",
    F58&lt;337.5,"NW"
  ), "No Direction"
)</f>
        <v>NE</v>
      </c>
    </row>
    <row r="59" spans="1:7" x14ac:dyDescent="0.2">
      <c r="A59" t="s">
        <v>123</v>
      </c>
      <c r="B59" t="s">
        <v>172</v>
      </c>
      <c r="C59">
        <v>26.264621706263501</v>
      </c>
      <c r="D59">
        <v>92.930619114470801</v>
      </c>
      <c r="E59">
        <f t="shared" si="0"/>
        <v>722.72773378592717</v>
      </c>
      <c r="F59" s="34">
        <f t="shared" si="1"/>
        <v>51.884461898929032</v>
      </c>
      <c r="G59" t="str" cm="1">
        <f t="array" ref="G59">IFERROR(
  _xlfn.IFS(F59="Current City","No Direction",
    OR(F59&gt;=337.5,F59&lt;22.5),"N",
    F59&lt;67.5,"NE",
    F59&lt;112.5,"E",
    F59&lt;157.5,"SE",
    F59&lt;202.5,"S",
    F59&lt;247.5,"SW",
    F59&lt;292.5,"W",
    F59&lt;337.5,"NW"
  ), "No Direction"
)</f>
        <v>NE</v>
      </c>
    </row>
    <row r="60" spans="1:7" x14ac:dyDescent="0.2">
      <c r="A60" t="s">
        <v>123</v>
      </c>
      <c r="B60" t="s">
        <v>174</v>
      </c>
      <c r="C60">
        <v>26.463237676056298</v>
      </c>
      <c r="D60">
        <v>91.405985211267605</v>
      </c>
      <c r="E60">
        <f t="shared" si="0"/>
        <v>622.30494774985664</v>
      </c>
      <c r="F60" s="34">
        <f t="shared" si="1"/>
        <v>41.93600860635047</v>
      </c>
      <c r="G60" t="str" cm="1">
        <f t="array" ref="G60">IFERROR(
  _xlfn.IFS(F60="Current City","No Direction",
    OR(F60&gt;=337.5,F60&lt;22.5),"N",
    F60&lt;67.5,"NE",
    F60&lt;112.5,"E",
    F60&lt;157.5,"SE",
    F60&lt;202.5,"S",
    F60&lt;247.5,"SW",
    F60&lt;292.5,"W",
    F60&lt;337.5,"NW"
  ), "No Direction"
)</f>
        <v>NE</v>
      </c>
    </row>
    <row r="61" spans="1:7" x14ac:dyDescent="0.2">
      <c r="A61" t="s">
        <v>123</v>
      </c>
      <c r="B61" t="s">
        <v>177</v>
      </c>
      <c r="C61">
        <v>25.3382998531571</v>
      </c>
      <c r="D61">
        <v>92.977402055800297</v>
      </c>
      <c r="E61">
        <f t="shared" si="0"/>
        <v>671.88517620429673</v>
      </c>
      <c r="F61" s="34">
        <f t="shared" si="1"/>
        <v>59.279728483559779</v>
      </c>
      <c r="G61" t="str" cm="1">
        <f t="array" ref="G61">IFERROR(
  _xlfn.IFS(F61="Current City","No Direction",
    OR(F61&gt;=337.5,F61&lt;22.5),"N",
    F61&lt;67.5,"NE",
    F61&lt;112.5,"E",
    F61&lt;157.5,"SE",
    F61&lt;202.5,"S",
    F61&lt;247.5,"SW",
    F61&lt;292.5,"W",
    F61&lt;337.5,"NW"
  ), "No Direction"
)</f>
        <v>NE</v>
      </c>
    </row>
    <row r="62" spans="1:7" x14ac:dyDescent="0.2">
      <c r="A62" t="s">
        <v>123</v>
      </c>
      <c r="B62" t="s">
        <v>180</v>
      </c>
      <c r="C62">
        <v>27.027628695652101</v>
      </c>
      <c r="D62">
        <v>94.900258478260795</v>
      </c>
      <c r="E62">
        <f t="shared" si="0"/>
        <v>932.52445563048275</v>
      </c>
      <c r="F62" s="34">
        <f t="shared" si="1"/>
        <v>54.596273544042958</v>
      </c>
      <c r="G62" t="str" cm="1">
        <f t="array" ref="G62">IFERROR(
  _xlfn.IFS(F62="Current City","No Direction",
    OR(F62&gt;=337.5,F62&lt;22.5),"N",
    F62&lt;67.5,"NE",
    F62&lt;112.5,"E",
    F62&lt;157.5,"SE",
    F62&lt;202.5,"S",
    F62&lt;247.5,"SW",
    F62&lt;292.5,"W",
    F62&lt;337.5,"NW"
  ), "No Direction"
)</f>
        <v>NE</v>
      </c>
    </row>
    <row r="63" spans="1:7" x14ac:dyDescent="0.2">
      <c r="A63" t="s">
        <v>123</v>
      </c>
      <c r="B63" t="s">
        <v>183</v>
      </c>
      <c r="C63">
        <v>26.735149268292599</v>
      </c>
      <c r="D63">
        <v>92.851978048780396</v>
      </c>
      <c r="E63">
        <f t="shared" si="0"/>
        <v>748.44441530953986</v>
      </c>
      <c r="F63" s="34">
        <f t="shared" si="1"/>
        <v>48.27431618365614</v>
      </c>
      <c r="G63" t="str" cm="1">
        <f t="array" ref="G63">IFERROR(
  _xlfn.IFS(F63="Current City","No Direction",
    OR(F63&gt;=337.5,F63&lt;22.5),"N",
    F63&lt;67.5,"NE",
    F63&lt;112.5,"E",
    F63&lt;157.5,"SE",
    F63&lt;202.5,"S",
    F63&lt;247.5,"SW",
    F63&lt;292.5,"W",
    F63&lt;337.5,"NW"
  ), "No Direction"
)</f>
        <v>NE</v>
      </c>
    </row>
    <row r="64" spans="1:7" x14ac:dyDescent="0.2">
      <c r="A64" t="s">
        <v>123</v>
      </c>
      <c r="B64" t="s">
        <v>186</v>
      </c>
      <c r="C64">
        <v>27.535492911392399</v>
      </c>
      <c r="D64">
        <v>95.690559493670804</v>
      </c>
      <c r="E64">
        <f t="shared" si="0"/>
        <v>1028.7058536747113</v>
      </c>
      <c r="F64" s="34">
        <f t="shared" si="1"/>
        <v>54.233719185958137</v>
      </c>
      <c r="G64" t="str" cm="1">
        <f t="array" ref="G64">IFERROR(
  _xlfn.IFS(F64="Current City","No Direction",
    OR(F64&gt;=337.5,F64&lt;22.5),"N",
    F64&lt;67.5,"NE",
    F64&lt;112.5,"E",
    F64&lt;157.5,"SE",
    F64&lt;202.5,"S",
    F64&lt;247.5,"SW",
    F64&lt;292.5,"W",
    F64&lt;337.5,"NW"
  ), "No Direction"
)</f>
        <v>NE</v>
      </c>
    </row>
    <row r="65" spans="1:7" x14ac:dyDescent="0.2">
      <c r="A65" t="s">
        <v>189</v>
      </c>
      <c r="B65" t="s">
        <v>190</v>
      </c>
      <c r="C65">
        <v>26.211528119180599</v>
      </c>
      <c r="D65">
        <v>87.307665549348101</v>
      </c>
      <c r="E65">
        <f t="shared" si="0"/>
        <v>428.90815002557031</v>
      </c>
      <c r="F65" s="34">
        <f t="shared" si="1"/>
        <v>1.0223213775914246</v>
      </c>
      <c r="G65" t="str" cm="1">
        <f t="array" ref="G65">IFERROR(
  _xlfn.IFS(F65="Current City","No Direction",
    OR(F65&gt;=337.5,F65&lt;22.5),"N",
    F65&lt;67.5,"NE",
    F65&lt;112.5,"E",
    F65&lt;157.5,"SE",
    F65&lt;202.5,"S",
    F65&lt;247.5,"SW",
    F65&lt;292.5,"W",
    F65&lt;337.5,"NW"
  ), "No Direction"
)</f>
        <v>N</v>
      </c>
    </row>
    <row r="66" spans="1:7" x14ac:dyDescent="0.2">
      <c r="A66" t="s">
        <v>189</v>
      </c>
      <c r="B66" t="s">
        <v>193</v>
      </c>
      <c r="C66">
        <v>24.774291867469799</v>
      </c>
      <c r="D66">
        <v>84.459860240963707</v>
      </c>
      <c r="E66">
        <f t="shared" ref="E66:E129" si="2">2*6371*ASIN(SQRT(
    SIN(RADIANS(C66-$M$7)/2)^2 +
    COS(RADIANS($M$7)) * COS(RADIANS(C66)) *
    SIN(RADIANS(D66-$M$8)/2)^2
))</f>
        <v>390.03445607130857</v>
      </c>
      <c r="F66" s="34">
        <f t="shared" si="1"/>
        <v>314.15260634822772</v>
      </c>
      <c r="G66" t="str" cm="1">
        <f t="array" ref="G66">IFERROR(
  _xlfn.IFS(F66="Current City","No Direction",
    OR(F66&gt;=337.5,F66&lt;22.5),"N",
    F66&lt;67.5,"NE",
    F66&lt;112.5,"E",
    F66&lt;157.5,"SE",
    F66&lt;202.5,"S",
    F66&lt;247.5,"SW",
    F66&lt;292.5,"W",
    F66&lt;337.5,"NW"
  ), "No Direction"
)</f>
        <v>NW</v>
      </c>
    </row>
    <row r="67" spans="1:7" x14ac:dyDescent="0.2">
      <c r="A67" t="s">
        <v>189</v>
      </c>
      <c r="B67" t="s">
        <v>196</v>
      </c>
      <c r="C67">
        <v>24.832355642023298</v>
      </c>
      <c r="D67">
        <v>86.866491634241299</v>
      </c>
      <c r="E67">
        <f t="shared" si="2"/>
        <v>277.97318573656383</v>
      </c>
      <c r="F67" s="34">
        <f t="shared" ref="F67:F130" si="3">IFERROR(MOD(DEGREES(ATAN2(COS(RADIANS($M$7))*SIN(RADIANS(C67))-SIN(RADIANS($M$7))*COS(RADIANS(C67))*COS(RADIANS(D67-$M$8)), SIN(RADIANS(D67-$M$8))*COS(RADIANS(C67))))+360, 360),"Current City")</f>
        <v>352.39311508804349</v>
      </c>
      <c r="G67" t="str" cm="1">
        <f t="array" ref="G67">IFERROR(
  _xlfn.IFS(F67="Current City","No Direction",
    OR(F67&gt;=337.5,F67&lt;22.5),"N",
    F67&lt;67.5,"NE",
    F67&lt;112.5,"E",
    F67&lt;157.5,"SE",
    F67&lt;202.5,"S",
    F67&lt;247.5,"SW",
    F67&lt;292.5,"W",
    F67&lt;337.5,"NW"
  ), "No Direction"
)</f>
        <v>N</v>
      </c>
    </row>
    <row r="68" spans="1:7" x14ac:dyDescent="0.2">
      <c r="A68" t="s">
        <v>189</v>
      </c>
      <c r="B68" t="s">
        <v>198</v>
      </c>
      <c r="C68">
        <v>25.543026131687199</v>
      </c>
      <c r="D68">
        <v>86.125601440329305</v>
      </c>
      <c r="E68">
        <f t="shared" si="2"/>
        <v>371.86912848254599</v>
      </c>
      <c r="F68" s="34">
        <f t="shared" si="3"/>
        <v>342.63959258144814</v>
      </c>
      <c r="G68" t="str" cm="1">
        <f t="array" ref="G68">IFERROR(
  _xlfn.IFS(F68="Current City","No Direction",
    OR(F68&gt;=337.5,F68&lt;22.5),"N",
    F68&lt;67.5,"NE",
    F68&lt;112.5,"E",
    F68&lt;157.5,"SE",
    F68&lt;202.5,"S",
    F68&lt;247.5,"SW",
    F68&lt;292.5,"W",
    F68&lt;337.5,"NW"
  ), "No Direction"
)</f>
        <v>N</v>
      </c>
    </row>
    <row r="69" spans="1:7" x14ac:dyDescent="0.2">
      <c r="A69" t="s">
        <v>189</v>
      </c>
      <c r="B69" t="s">
        <v>201</v>
      </c>
      <c r="C69">
        <v>25.021566425992699</v>
      </c>
      <c r="D69">
        <v>83.611281046931296</v>
      </c>
      <c r="E69">
        <f t="shared" si="2"/>
        <v>473.00334902547866</v>
      </c>
      <c r="F69" s="34">
        <f t="shared" si="3"/>
        <v>309.53185533810114</v>
      </c>
      <c r="G69" t="str" cm="1">
        <f t="array" ref="G69">IFERROR(
  _xlfn.IFS(F69="Current City","No Direction",
    OR(F69&gt;=337.5,F69&lt;22.5),"N",
    F69&lt;67.5,"NE",
    F69&lt;112.5,"E",
    F69&lt;157.5,"SE",
    F69&lt;202.5,"S",
    F69&lt;247.5,"SW",
    F69&lt;292.5,"W",
    F69&lt;337.5,"NW"
  ), "No Direction"
)</f>
        <v>NW</v>
      </c>
    </row>
    <row r="70" spans="1:7" x14ac:dyDescent="0.2">
      <c r="A70" t="s">
        <v>189</v>
      </c>
      <c r="B70" t="s">
        <v>204</v>
      </c>
      <c r="C70">
        <v>25.277192885375399</v>
      </c>
      <c r="D70">
        <v>87.042138142292401</v>
      </c>
      <c r="E70">
        <f t="shared" si="2"/>
        <v>325.51183924518915</v>
      </c>
      <c r="F70" s="34">
        <f t="shared" si="3"/>
        <v>356.65386809446778</v>
      </c>
      <c r="G70" t="str" cm="1">
        <f t="array" ref="G70">IFERROR(
  _xlfn.IFS(F70="Current City","No Direction",
    OR(F70&gt;=337.5,F70&lt;22.5),"N",
    F70&lt;67.5,"NE",
    F70&lt;112.5,"E",
    F70&lt;157.5,"SE",
    F70&lt;202.5,"S",
    F70&lt;247.5,"SW",
    F70&lt;292.5,"W",
    F70&lt;337.5,"NW"
  ), "No Direction"
)</f>
        <v>N</v>
      </c>
    </row>
    <row r="71" spans="1:7" x14ac:dyDescent="0.2">
      <c r="A71" t="s">
        <v>189</v>
      </c>
      <c r="B71" t="s">
        <v>207</v>
      </c>
      <c r="C71">
        <v>25.5066643939393</v>
      </c>
      <c r="D71">
        <v>84.494078030303001</v>
      </c>
      <c r="E71">
        <f t="shared" si="2"/>
        <v>447.40213101704808</v>
      </c>
      <c r="F71" s="34">
        <f t="shared" si="3"/>
        <v>322.10641185000168</v>
      </c>
      <c r="G71" t="str" cm="1">
        <f t="array" ref="G71">IFERROR(
  _xlfn.IFS(F71="Current City","No Direction",
    OR(F71&gt;=337.5,F71&lt;22.5),"N",
    F71&lt;67.5,"NE",
    F71&lt;112.5,"E",
    F71&lt;157.5,"SE",
    F71&lt;202.5,"S",
    F71&lt;247.5,"SW",
    F71&lt;292.5,"W",
    F71&lt;337.5,"NW"
  ), "No Direction"
)</f>
        <v>NW</v>
      </c>
    </row>
    <row r="72" spans="1:7" x14ac:dyDescent="0.2">
      <c r="A72" t="s">
        <v>189</v>
      </c>
      <c r="B72" t="s">
        <v>210</v>
      </c>
      <c r="C72">
        <v>25.485930188679198</v>
      </c>
      <c r="D72">
        <v>84.088080817609907</v>
      </c>
      <c r="E72">
        <f t="shared" si="2"/>
        <v>472.4647212024027</v>
      </c>
      <c r="F72" s="34">
        <f t="shared" si="3"/>
        <v>318.08784940788786</v>
      </c>
      <c r="G72" t="str" cm="1">
        <f t="array" ref="G72">IFERROR(
  _xlfn.IFS(F72="Current City","No Direction",
    OR(F72&gt;=337.5,F72&lt;22.5),"N",
    F72&lt;67.5,"NE",
    F72&lt;112.5,"E",
    F72&lt;157.5,"SE",
    F72&lt;202.5,"S",
    F72&lt;247.5,"SW",
    F72&lt;292.5,"W",
    F72&lt;337.5,"NW"
  ), "No Direction"
)</f>
        <v>NW</v>
      </c>
    </row>
    <row r="73" spans="1:7" x14ac:dyDescent="0.2">
      <c r="A73" t="s">
        <v>189</v>
      </c>
      <c r="B73" t="s">
        <v>213</v>
      </c>
      <c r="C73">
        <v>26.146187719298201</v>
      </c>
      <c r="D73">
        <v>85.973873524720901</v>
      </c>
      <c r="E73">
        <f t="shared" si="2"/>
        <v>440.40630692709402</v>
      </c>
      <c r="F73" s="34">
        <f t="shared" si="3"/>
        <v>343.43331949723216</v>
      </c>
      <c r="G73" t="str" cm="1">
        <f t="array" ref="G73">IFERROR(
  _xlfn.IFS(F73="Current City","No Direction",
    OR(F73&gt;=337.5,F73&lt;22.5),"N",
    F73&lt;67.5,"NE",
    F73&lt;112.5,"E",
    F73&lt;157.5,"SE",
    F73&lt;202.5,"S",
    F73&lt;247.5,"SW",
    F73&lt;292.5,"W",
    F73&lt;337.5,"NW"
  ), "No Direction"
)</f>
        <v>N</v>
      </c>
    </row>
    <row r="74" spans="1:7" x14ac:dyDescent="0.2">
      <c r="A74" t="s">
        <v>189</v>
      </c>
      <c r="B74" t="s">
        <v>216</v>
      </c>
      <c r="C74">
        <v>24.7266541547278</v>
      </c>
      <c r="D74">
        <v>84.942912177650399</v>
      </c>
      <c r="E74">
        <f t="shared" si="2"/>
        <v>352.05801485540752</v>
      </c>
      <c r="F74" s="34">
        <f t="shared" si="3"/>
        <v>318.9604396337873</v>
      </c>
      <c r="G74" t="str" cm="1">
        <f t="array" ref="G74">IFERROR(
  _xlfn.IFS(F74="Current City","No Direction",
    OR(F74&gt;=337.5,F74&lt;22.5),"N",
    F74&lt;67.5,"NE",
    F74&lt;112.5,"E",
    F74&lt;157.5,"SE",
    F74&lt;202.5,"S",
    F74&lt;247.5,"SW",
    F74&lt;292.5,"W",
    F74&lt;337.5,"NW"
  ), "No Direction"
)</f>
        <v>NW</v>
      </c>
    </row>
    <row r="75" spans="1:7" x14ac:dyDescent="0.2">
      <c r="A75" t="s">
        <v>189</v>
      </c>
      <c r="B75" t="s">
        <v>218</v>
      </c>
      <c r="C75">
        <v>26.448743641618499</v>
      </c>
      <c r="D75">
        <v>84.346361271676201</v>
      </c>
      <c r="E75">
        <f t="shared" si="2"/>
        <v>540.81840665157142</v>
      </c>
      <c r="F75" s="34">
        <f t="shared" si="3"/>
        <v>327.8975495729178</v>
      </c>
      <c r="G75" t="str" cm="1">
        <f t="array" ref="G75">IFERROR(
  _xlfn.IFS(F75="Current City","No Direction",
    OR(F75&gt;=337.5,F75&lt;22.5),"N",
    F75&lt;67.5,"NE",
    F75&lt;112.5,"E",
    F75&lt;157.5,"SE",
    F75&lt;202.5,"S",
    F75&lt;247.5,"SW",
    F75&lt;292.5,"W",
    F75&lt;337.5,"NW"
  ), "No Direction"
)</f>
        <v>NW</v>
      </c>
    </row>
    <row r="76" spans="1:7" x14ac:dyDescent="0.2">
      <c r="A76" t="s">
        <v>189</v>
      </c>
      <c r="B76" t="s">
        <v>221</v>
      </c>
      <c r="C76">
        <v>24.784183804627201</v>
      </c>
      <c r="D76">
        <v>86.263162982005099</v>
      </c>
      <c r="E76">
        <f t="shared" si="2"/>
        <v>287.56755147623528</v>
      </c>
      <c r="F76" s="34">
        <f t="shared" si="3"/>
        <v>340.13092400596543</v>
      </c>
      <c r="G76" t="str" cm="1">
        <f t="array" ref="G76">IFERROR(
  _xlfn.IFS(F76="Current City","No Direction",
    OR(F76&gt;=337.5,F76&lt;22.5),"N",
    F76&lt;67.5,"NE",
    F76&lt;112.5,"E",
    F76&lt;157.5,"SE",
    F76&lt;202.5,"S",
    F76&lt;247.5,"SW",
    F76&lt;292.5,"W",
    F76&lt;337.5,"NW"
  ), "No Direction"
)</f>
        <v>N</v>
      </c>
    </row>
    <row r="77" spans="1:7" x14ac:dyDescent="0.2">
      <c r="A77" t="s">
        <v>189</v>
      </c>
      <c r="B77" t="s">
        <v>224</v>
      </c>
      <c r="C77">
        <v>25.155679045643101</v>
      </c>
      <c r="D77">
        <v>84.920812448132807</v>
      </c>
      <c r="E77">
        <f t="shared" si="2"/>
        <v>390.1952034908519</v>
      </c>
      <c r="F77" s="34">
        <f t="shared" si="3"/>
        <v>323.40781119038047</v>
      </c>
      <c r="G77" t="str" cm="1">
        <f t="array" ref="G77">IFERROR(
  _xlfn.IFS(F77="Current City","No Direction",
    OR(F77&gt;=337.5,F77&lt;22.5),"N",
    F77&lt;67.5,"NE",
    F77&lt;112.5,"E",
    F77&lt;157.5,"SE",
    F77&lt;202.5,"S",
    F77&lt;247.5,"SW",
    F77&lt;292.5,"W",
    F77&lt;337.5,"NW"
  ), "No Direction"
)</f>
        <v>NW</v>
      </c>
    </row>
    <row r="78" spans="1:7" x14ac:dyDescent="0.2">
      <c r="A78" t="s">
        <v>189</v>
      </c>
      <c r="B78" t="s">
        <v>226</v>
      </c>
      <c r="C78">
        <v>25.565653560371501</v>
      </c>
      <c r="D78">
        <v>87.704660835913202</v>
      </c>
      <c r="E78">
        <f t="shared" si="2"/>
        <v>360.24792621312713</v>
      </c>
      <c r="F78" s="34">
        <f t="shared" si="3"/>
        <v>7.5823846546427944</v>
      </c>
      <c r="G78" t="str" cm="1">
        <f t="array" ref="G78">IFERROR(
  _xlfn.IFS(F78="Current City","No Direction",
    OR(F78&gt;=337.5,F78&lt;22.5),"N",
    F78&lt;67.5,"NE",
    F78&lt;112.5,"E",
    F78&lt;157.5,"SE",
    F78&lt;202.5,"S",
    F78&lt;247.5,"SW",
    F78&lt;292.5,"W",
    F78&lt;337.5,"NW"
  ), "No Direction"
)</f>
        <v>N</v>
      </c>
    </row>
    <row r="79" spans="1:7" x14ac:dyDescent="0.2">
      <c r="A79" t="s">
        <v>189</v>
      </c>
      <c r="B79" t="s">
        <v>229</v>
      </c>
      <c r="C79">
        <v>25.535588914549599</v>
      </c>
      <c r="D79">
        <v>86.565932563510302</v>
      </c>
      <c r="E79">
        <f t="shared" si="2"/>
        <v>360.07451873291717</v>
      </c>
      <c r="F79" s="34">
        <f t="shared" si="3"/>
        <v>349.31457740352869</v>
      </c>
      <c r="G79" t="str" cm="1">
        <f t="array" ref="G79">IFERROR(
  _xlfn.IFS(F79="Current City","No Direction",
    OR(F79&gt;=337.5,F79&lt;22.5),"N",
    F79&lt;67.5,"NE",
    F79&lt;112.5,"E",
    F79&lt;157.5,"SE",
    F79&lt;202.5,"S",
    F79&lt;247.5,"SW",
    F79&lt;292.5,"W",
    F79&lt;337.5,"NW"
  ), "No Direction"
)</f>
        <v>N</v>
      </c>
    </row>
    <row r="80" spans="1:7" x14ac:dyDescent="0.2">
      <c r="A80" t="s">
        <v>189</v>
      </c>
      <c r="B80" t="s">
        <v>232</v>
      </c>
      <c r="C80">
        <v>26.324336758321198</v>
      </c>
      <c r="D80">
        <v>87.950450072358805</v>
      </c>
      <c r="E80">
        <f t="shared" si="2"/>
        <v>447.35534773492219</v>
      </c>
      <c r="F80" s="34">
        <f t="shared" si="3"/>
        <v>9.2304995563707166</v>
      </c>
      <c r="G80" t="str" cm="1">
        <f t="array" ref="G80">IFERROR(
  _xlfn.IFS(F80="Current City","No Direction",
    OR(F80&gt;=337.5,F80&lt;22.5),"N",
    F80&lt;67.5,"NE",
    F80&lt;112.5,"E",
    F80&lt;157.5,"SE",
    F80&lt;202.5,"S",
    F80&lt;247.5,"SW",
    F80&lt;292.5,"W",
    F80&lt;337.5,"NW"
  ), "No Direction"
)</f>
        <v>N</v>
      </c>
    </row>
    <row r="81" spans="1:7" x14ac:dyDescent="0.2">
      <c r="A81" t="s">
        <v>189</v>
      </c>
      <c r="B81" t="s">
        <v>235</v>
      </c>
      <c r="C81">
        <v>25.183449321266899</v>
      </c>
      <c r="D81">
        <v>86.128257013574597</v>
      </c>
      <c r="E81">
        <f t="shared" si="2"/>
        <v>333.93480365008514</v>
      </c>
      <c r="F81" s="34">
        <f t="shared" si="3"/>
        <v>340.58368045538418</v>
      </c>
      <c r="G81" t="str" cm="1">
        <f t="array" ref="G81">IFERROR(
  _xlfn.IFS(F81="Current City","No Direction",
    OR(F81&gt;=337.5,F81&lt;22.5),"N",
    F81&lt;67.5,"NE",
    F81&lt;112.5,"E",
    F81&lt;157.5,"SE",
    F81&lt;202.5,"S",
    F81&lt;247.5,"SW",
    F81&lt;292.5,"W",
    F81&lt;337.5,"NW"
  ), "No Direction"
)</f>
        <v>N</v>
      </c>
    </row>
    <row r="82" spans="1:7" x14ac:dyDescent="0.2">
      <c r="A82" t="s">
        <v>189</v>
      </c>
      <c r="B82" t="s">
        <v>238</v>
      </c>
      <c r="C82">
        <v>25.773419294605802</v>
      </c>
      <c r="D82">
        <v>86.897844398340297</v>
      </c>
      <c r="E82">
        <f t="shared" si="2"/>
        <v>381.62379836027429</v>
      </c>
      <c r="F82" s="34">
        <f t="shared" si="3"/>
        <v>354.981841466856</v>
      </c>
      <c r="G82" t="str" cm="1">
        <f t="array" ref="G82">IFERROR(
  _xlfn.IFS(F82="Current City","No Direction",
    OR(F82&gt;=337.5,F82&lt;22.5),"N",
    F82&lt;67.5,"NE",
    F82&lt;112.5,"E",
    F82&lt;157.5,"SE",
    F82&lt;202.5,"S",
    F82&lt;247.5,"SW",
    F82&lt;292.5,"W",
    F82&lt;337.5,"NW"
  ), "No Direction"
)</f>
        <v>N</v>
      </c>
    </row>
    <row r="83" spans="1:7" x14ac:dyDescent="0.2">
      <c r="A83" t="s">
        <v>189</v>
      </c>
      <c r="B83" t="s">
        <v>240</v>
      </c>
      <c r="C83">
        <v>26.413805381727101</v>
      </c>
      <c r="D83">
        <v>86.163283604505494</v>
      </c>
      <c r="E83">
        <f t="shared" si="2"/>
        <v>464.09493162085465</v>
      </c>
      <c r="F83" s="34">
        <f t="shared" si="3"/>
        <v>346.74378854935929</v>
      </c>
      <c r="G83" t="str" cm="1">
        <f t="array" ref="G83">IFERROR(
  _xlfn.IFS(F83="Current City","No Direction",
    OR(F83&gt;=337.5,F83&lt;22.5),"N",
    F83&lt;67.5,"NE",
    F83&lt;112.5,"E",
    F83&lt;157.5,"SE",
    F83&lt;202.5,"S",
    F83&lt;247.5,"SW",
    F83&lt;292.5,"W",
    F83&lt;337.5,"NW"
  ), "No Direction"
)</f>
        <v>N</v>
      </c>
    </row>
    <row r="84" spans="1:7" x14ac:dyDescent="0.2">
      <c r="A84" t="s">
        <v>189</v>
      </c>
      <c r="B84" t="s">
        <v>243</v>
      </c>
      <c r="C84">
        <v>25.198537962962899</v>
      </c>
      <c r="D84">
        <v>86.541736728394994</v>
      </c>
      <c r="E84">
        <f t="shared" si="2"/>
        <v>323.88164756248244</v>
      </c>
      <c r="F84" s="34">
        <f t="shared" si="3"/>
        <v>347.63080151071392</v>
      </c>
      <c r="G84" t="str" cm="1">
        <f t="array" ref="G84">IFERROR(
  _xlfn.IFS(F84="Current City","No Direction",
    OR(F84&gt;=337.5,F84&lt;22.5),"N",
    F84&lt;67.5,"NE",
    F84&lt;112.5,"E",
    F84&lt;157.5,"SE",
    F84&lt;202.5,"S",
    F84&lt;247.5,"SW",
    F84&lt;292.5,"W",
    F84&lt;337.5,"NW"
  ), "No Direction"
)</f>
        <v>N</v>
      </c>
    </row>
    <row r="85" spans="1:7" x14ac:dyDescent="0.2">
      <c r="A85" t="s">
        <v>189</v>
      </c>
      <c r="B85" t="s">
        <v>246</v>
      </c>
      <c r="C85">
        <v>26.186644171779101</v>
      </c>
      <c r="D85">
        <v>85.327450920245397</v>
      </c>
      <c r="E85">
        <f t="shared" si="2"/>
        <v>467.70317118501691</v>
      </c>
      <c r="F85" s="34">
        <f t="shared" si="3"/>
        <v>336.0207657039287</v>
      </c>
      <c r="G85" t="str" cm="1">
        <f t="array" ref="G85">IFERROR(
  _xlfn.IFS(F85="Current City","No Direction",
    OR(F85&gt;=337.5,F85&lt;22.5),"N",
    F85&lt;67.5,"NE",
    F85&lt;112.5,"E",
    F85&lt;157.5,"SE",
    F85&lt;202.5,"S",
    F85&lt;247.5,"SW",
    F85&lt;292.5,"W",
    F85&lt;337.5,"NW"
  ), "No Direction"
)</f>
        <v>NW</v>
      </c>
    </row>
    <row r="86" spans="1:7" x14ac:dyDescent="0.2">
      <c r="A86" t="s">
        <v>189</v>
      </c>
      <c r="B86" t="s">
        <v>249</v>
      </c>
      <c r="C86">
        <v>25.229345508982</v>
      </c>
      <c r="D86">
        <v>85.480531137724597</v>
      </c>
      <c r="E86">
        <f t="shared" si="2"/>
        <v>365.88154707487291</v>
      </c>
      <c r="F86" s="34">
        <f t="shared" si="3"/>
        <v>331.22106606463774</v>
      </c>
      <c r="G86" t="str" cm="1">
        <f t="array" ref="G86">IFERROR(
  _xlfn.IFS(F86="Current City","No Direction",
    OR(F86&gt;=337.5,F86&lt;22.5),"N",
    F86&lt;67.5,"NE",
    F86&lt;112.5,"E",
    F86&lt;157.5,"SE",
    F86&lt;202.5,"S",
    F86&lt;247.5,"SW",
    F86&lt;292.5,"W",
    F86&lt;337.5,"NW"
  ), "No Direction"
)</f>
        <v>NW</v>
      </c>
    </row>
    <row r="87" spans="1:7" x14ac:dyDescent="0.2">
      <c r="A87" t="s">
        <v>189</v>
      </c>
      <c r="B87" t="s">
        <v>252</v>
      </c>
      <c r="C87">
        <v>24.8257088362069</v>
      </c>
      <c r="D87">
        <v>85.615945689655106</v>
      </c>
      <c r="E87">
        <f t="shared" si="2"/>
        <v>320.25384373470536</v>
      </c>
      <c r="F87" s="34">
        <f t="shared" si="3"/>
        <v>329.39662796733899</v>
      </c>
      <c r="G87" t="str" cm="1">
        <f t="array" ref="G87">IFERROR(
  _xlfn.IFS(F87="Current City","No Direction",
    OR(F87&gt;=337.5,F87&lt;22.5),"N",
    F87&lt;67.5,"NE",
    F87&lt;112.5,"E",
    F87&lt;157.5,"SE",
    F87&lt;202.5,"S",
    F87&lt;247.5,"SW",
    F87&lt;292.5,"W",
    F87&lt;337.5,"NW"
  ), "No Direction"
)</f>
        <v>NW</v>
      </c>
    </row>
    <row r="88" spans="1:7" x14ac:dyDescent="0.2">
      <c r="A88" t="s">
        <v>189</v>
      </c>
      <c r="B88" t="s">
        <v>255</v>
      </c>
      <c r="C88">
        <v>27.160643522012499</v>
      </c>
      <c r="D88">
        <v>84.302659119496795</v>
      </c>
      <c r="E88">
        <f t="shared" si="2"/>
        <v>610.65637388739617</v>
      </c>
      <c r="F88" s="34">
        <f t="shared" si="3"/>
        <v>331.6440225426141</v>
      </c>
      <c r="G88" t="str" cm="1">
        <f t="array" ref="G88">IFERROR(
  _xlfn.IFS(F88="Current City","No Direction",
    OR(F88&gt;=337.5,F88&lt;22.5),"N",
    F88&lt;67.5,"NE",
    F88&lt;112.5,"E",
    F88&lt;157.5,"SE",
    F88&lt;202.5,"S",
    F88&lt;247.5,"SW",
    F88&lt;292.5,"W",
    F88&lt;337.5,"NW"
  ), "No Direction"
)</f>
        <v>NW</v>
      </c>
    </row>
    <row r="89" spans="1:7" x14ac:dyDescent="0.2">
      <c r="A89" t="s">
        <v>189</v>
      </c>
      <c r="B89" t="s">
        <v>258</v>
      </c>
      <c r="C89">
        <v>25.402971145038101</v>
      </c>
      <c r="D89">
        <v>85.319843358778698</v>
      </c>
      <c r="E89">
        <f t="shared" si="2"/>
        <v>390.66629521415166</v>
      </c>
      <c r="F89" s="34">
        <f t="shared" si="3"/>
        <v>330.55444975172639</v>
      </c>
      <c r="G89" t="str" cm="1">
        <f t="array" ref="G89">IFERROR(
  _xlfn.IFS(F89="Current City","No Direction",
    OR(F89&gt;=337.5,F89&lt;22.5),"N",
    F89&lt;67.5,"NE",
    F89&lt;112.5,"E",
    F89&lt;157.5,"SE",
    F89&lt;202.5,"S",
    F89&lt;247.5,"SW",
    F89&lt;292.5,"W",
    F89&lt;337.5,"NW"
  ), "No Direction"
)</f>
        <v>NW</v>
      </c>
    </row>
    <row r="90" spans="1:7" x14ac:dyDescent="0.2">
      <c r="A90" t="s">
        <v>189</v>
      </c>
      <c r="B90" t="s">
        <v>260</v>
      </c>
      <c r="C90">
        <v>26.6812933673469</v>
      </c>
      <c r="D90">
        <v>85.003821556122404</v>
      </c>
      <c r="E90">
        <f t="shared" si="2"/>
        <v>531.18844928145199</v>
      </c>
      <c r="F90" s="34">
        <f t="shared" si="3"/>
        <v>335.35737278472817</v>
      </c>
      <c r="G90" t="str" cm="1">
        <f t="array" ref="G90">IFERROR(
  _xlfn.IFS(F90="Current City","No Direction",
    OR(F90&gt;=337.5,F90&lt;22.5),"N",
    F90&lt;67.5,"NE",
    F90&lt;112.5,"E",
    F90&lt;157.5,"SE",
    F90&lt;202.5,"S",
    F90&lt;247.5,"SW",
    F90&lt;292.5,"W",
    F90&lt;337.5,"NW"
  ), "No Direction"
)</f>
        <v>NW</v>
      </c>
    </row>
    <row r="91" spans="1:7" x14ac:dyDescent="0.2">
      <c r="A91" t="s">
        <v>189</v>
      </c>
      <c r="B91" t="s">
        <v>263</v>
      </c>
      <c r="C91">
        <v>25.817148019017299</v>
      </c>
      <c r="D91">
        <v>87.404476069730606</v>
      </c>
      <c r="E91">
        <f t="shared" si="2"/>
        <v>385.3870510311138</v>
      </c>
      <c r="F91" s="34">
        <f t="shared" si="3"/>
        <v>2.5837998141986418</v>
      </c>
      <c r="G91" t="str" cm="1">
        <f t="array" ref="G91">IFERROR(
  _xlfn.IFS(F91="Current City","No Direction",
    OR(F91&gt;=337.5,F91&lt;22.5),"N",
    F91&lt;67.5,"NE",
    F91&lt;112.5,"E",
    F91&lt;157.5,"SE",
    F91&lt;202.5,"S",
    F91&lt;247.5,"SW",
    F91&lt;292.5,"W",
    F91&lt;337.5,"NW"
  ), "No Direction"
)</f>
        <v>N</v>
      </c>
    </row>
    <row r="92" spans="1:7" x14ac:dyDescent="0.2">
      <c r="A92" t="s">
        <v>189</v>
      </c>
      <c r="B92" t="s">
        <v>266</v>
      </c>
      <c r="C92">
        <v>24.991704608294899</v>
      </c>
      <c r="D92">
        <v>83.935076267281104</v>
      </c>
      <c r="E92">
        <f t="shared" si="2"/>
        <v>445.63598332275996</v>
      </c>
      <c r="F92" s="34">
        <f t="shared" si="3"/>
        <v>311.7897008962305</v>
      </c>
      <c r="G92" t="str" cm="1">
        <f t="array" ref="G92">IFERROR(
  _xlfn.IFS(F92="Current City","No Direction",
    OR(F92&gt;=337.5,F92&lt;22.5),"N",
    F92&lt;67.5,"NE",
    F92&lt;112.5,"E",
    F92&lt;157.5,"SE",
    F92&lt;202.5,"S",
    F92&lt;247.5,"SW",
    F92&lt;292.5,"W",
    F92&lt;337.5,"NW"
  ), "No Direction"
)</f>
        <v>NW</v>
      </c>
    </row>
    <row r="93" spans="1:7" x14ac:dyDescent="0.2">
      <c r="A93" t="s">
        <v>189</v>
      </c>
      <c r="B93" t="s">
        <v>268</v>
      </c>
      <c r="C93">
        <v>25.821270696721299</v>
      </c>
      <c r="D93">
        <v>86.546708196721298</v>
      </c>
      <c r="E93">
        <f t="shared" si="2"/>
        <v>391.6497198810157</v>
      </c>
      <c r="F93" s="34">
        <f t="shared" si="3"/>
        <v>349.92178367299874</v>
      </c>
      <c r="G93" t="str" cm="1">
        <f t="array" ref="G93">IFERROR(
  _xlfn.IFS(F93="Current City","No Direction",
    OR(F93&gt;=337.5,F93&lt;22.5),"N",
    F93&lt;67.5,"NE",
    F93&lt;112.5,"E",
    F93&lt;157.5,"SE",
    F93&lt;202.5,"S",
    F93&lt;247.5,"SW",
    F93&lt;292.5,"W",
    F93&lt;337.5,"NW"
  ), "No Direction"
)</f>
        <v>N</v>
      </c>
    </row>
    <row r="94" spans="1:7" x14ac:dyDescent="0.2">
      <c r="A94" t="s">
        <v>189</v>
      </c>
      <c r="B94" t="s">
        <v>271</v>
      </c>
      <c r="C94">
        <v>25.793205563909702</v>
      </c>
      <c r="D94">
        <v>85.948333233082593</v>
      </c>
      <c r="E94">
        <f t="shared" si="2"/>
        <v>403.88107719067386</v>
      </c>
      <c r="F94" s="34">
        <f t="shared" si="3"/>
        <v>341.44917927645514</v>
      </c>
      <c r="G94" t="str" cm="1">
        <f t="array" ref="G94">IFERROR(
  _xlfn.IFS(F94="Current City","No Direction",
    OR(F94&gt;=337.5,F94&lt;22.5),"N",
    F94&lt;67.5,"NE",
    F94&lt;112.5,"E",
    F94&lt;157.5,"SE",
    F94&lt;202.5,"S",
    F94&lt;247.5,"SW",
    F94&lt;292.5,"W",
    F94&lt;337.5,"NW"
  ), "No Direction"
)</f>
        <v>N</v>
      </c>
    </row>
    <row r="95" spans="1:7" x14ac:dyDescent="0.2">
      <c r="A95" t="s">
        <v>189</v>
      </c>
      <c r="B95" t="s">
        <v>274</v>
      </c>
      <c r="C95">
        <v>25.896560778443099</v>
      </c>
      <c r="D95">
        <v>84.822662874251506</v>
      </c>
      <c r="E95">
        <f t="shared" si="2"/>
        <v>463.45656296850689</v>
      </c>
      <c r="F95" s="34">
        <f t="shared" si="3"/>
        <v>328.66056742714795</v>
      </c>
      <c r="G95" t="str" cm="1">
        <f t="array" ref="G95">IFERROR(
  _xlfn.IFS(F95="Current City","No Direction",
    OR(F95&gt;=337.5,F95&lt;22.5),"N",
    F95&lt;67.5,"NE",
    F95&lt;112.5,"E",
    F95&lt;157.5,"SE",
    F95&lt;202.5,"S",
    F95&lt;247.5,"SW",
    F95&lt;292.5,"W",
    F95&lt;337.5,"NW"
  ), "No Direction"
)</f>
        <v>NW</v>
      </c>
    </row>
    <row r="96" spans="1:7" x14ac:dyDescent="0.2">
      <c r="A96" t="s">
        <v>189</v>
      </c>
      <c r="B96" t="s">
        <v>277</v>
      </c>
      <c r="C96">
        <v>25.124724365482201</v>
      </c>
      <c r="D96">
        <v>85.778393908629397</v>
      </c>
      <c r="E96">
        <f t="shared" si="2"/>
        <v>341.63268915458121</v>
      </c>
      <c r="F96" s="34">
        <f t="shared" si="3"/>
        <v>334.64497426427567</v>
      </c>
      <c r="G96" t="str" cm="1">
        <f t="array" ref="G96">IFERROR(
  _xlfn.IFS(F96="Current City","No Direction",
    OR(F96&gt;=337.5,F96&lt;22.5),"N",
    F96&lt;67.5,"NE",
    F96&lt;112.5,"E",
    F96&lt;157.5,"SE",
    F96&lt;202.5,"S",
    F96&lt;247.5,"SW",
    F96&lt;292.5,"W",
    F96&lt;337.5,"NW"
  ), "No Direction"
)</f>
        <v>NW</v>
      </c>
    </row>
    <row r="97" spans="1:7" x14ac:dyDescent="0.2">
      <c r="A97" t="s">
        <v>189</v>
      </c>
      <c r="B97" t="s">
        <v>280</v>
      </c>
      <c r="C97">
        <v>26.4583807486631</v>
      </c>
      <c r="D97">
        <v>85.295394117647007</v>
      </c>
      <c r="E97">
        <f t="shared" si="2"/>
        <v>496.57341157495836</v>
      </c>
      <c r="F97" s="34">
        <f t="shared" si="3"/>
        <v>337.1479126618089</v>
      </c>
      <c r="G97" t="str" cm="1">
        <f t="array" ref="G97">IFERROR(
  _xlfn.IFS(F97="Current City","No Direction",
    OR(F97&gt;=337.5,F97&lt;22.5),"N",
    F97&lt;67.5,"NE",
    F97&lt;112.5,"E",
    F97&lt;157.5,"SE",
    F97&lt;202.5,"S",
    F97&lt;247.5,"SW",
    F97&lt;292.5,"W",
    F97&lt;337.5,"NW"
  ), "No Direction"
)</f>
        <v>NW</v>
      </c>
    </row>
    <row r="98" spans="1:7" x14ac:dyDescent="0.2">
      <c r="A98" t="s">
        <v>189</v>
      </c>
      <c r="B98" t="s">
        <v>283</v>
      </c>
      <c r="C98">
        <v>26.565700696864099</v>
      </c>
      <c r="D98">
        <v>85.611724912892001</v>
      </c>
      <c r="E98">
        <f t="shared" si="2"/>
        <v>496.05655414005088</v>
      </c>
      <c r="F98" s="34">
        <f t="shared" si="3"/>
        <v>341.03811797923697</v>
      </c>
      <c r="G98" t="str" cm="1">
        <f t="array" ref="G98">IFERROR(
  _xlfn.IFS(F98="Current City","No Direction",
    OR(F98&gt;=337.5,F98&lt;22.5),"N",
    F98&lt;67.5,"NE",
    F98&lt;112.5,"E",
    F98&lt;157.5,"SE",
    F98&lt;202.5,"S",
    F98&lt;247.5,"SW",
    F98&lt;292.5,"W",
    F98&lt;337.5,"NW"
  ), "No Direction"
)</f>
        <v>N</v>
      </c>
    </row>
    <row r="99" spans="1:7" x14ac:dyDescent="0.2">
      <c r="A99" t="s">
        <v>189</v>
      </c>
      <c r="B99" t="s">
        <v>286</v>
      </c>
      <c r="C99">
        <v>26.173637201365199</v>
      </c>
      <c r="D99">
        <v>84.337665529010195</v>
      </c>
      <c r="E99">
        <f t="shared" si="2"/>
        <v>516.02239135633567</v>
      </c>
      <c r="F99" s="34">
        <f t="shared" si="3"/>
        <v>325.94996712917111</v>
      </c>
      <c r="G99" t="str" cm="1">
        <f t="array" ref="G99">IFERROR(
  _xlfn.IFS(F99="Current City","No Direction",
    OR(F99&gt;=337.5,F99&lt;22.5),"N",
    F99&lt;67.5,"NE",
    F99&lt;112.5,"E",
    F99&lt;157.5,"SE",
    F99&lt;202.5,"S",
    F99&lt;247.5,"SW",
    F99&lt;292.5,"W",
    F99&lt;337.5,"NW"
  ), "No Direction"
)</f>
        <v>NW</v>
      </c>
    </row>
    <row r="100" spans="1:7" x14ac:dyDescent="0.2">
      <c r="A100" t="s">
        <v>189</v>
      </c>
      <c r="B100" t="s">
        <v>288</v>
      </c>
      <c r="C100">
        <v>26.281578937728899</v>
      </c>
      <c r="D100">
        <v>86.784964652014594</v>
      </c>
      <c r="E100">
        <f t="shared" si="2"/>
        <v>438.95874804561782</v>
      </c>
      <c r="F100" s="34">
        <f t="shared" si="3"/>
        <v>354.18076231143516</v>
      </c>
      <c r="G100" t="str" cm="1">
        <f t="array" ref="G100">IFERROR(
  _xlfn.IFS(F100="Current City","No Direction",
    OR(F100&gt;=337.5,F100&lt;22.5),"N",
    F100&lt;67.5,"NE",
    F100&lt;112.5,"E",
    F100&lt;157.5,"SE",
    F100&lt;202.5,"S",
    F100&lt;247.5,"SW",
    F100&lt;292.5,"W",
    F100&lt;337.5,"NW"
  ), "No Direction"
)</f>
        <v>N</v>
      </c>
    </row>
    <row r="101" spans="1:7" x14ac:dyDescent="0.2">
      <c r="A101" t="s">
        <v>189</v>
      </c>
      <c r="B101" t="s">
        <v>291</v>
      </c>
      <c r="C101">
        <v>25.813470318021199</v>
      </c>
      <c r="D101">
        <v>85.3924759717315</v>
      </c>
      <c r="E101">
        <f t="shared" si="2"/>
        <v>427.45219900915919</v>
      </c>
      <c r="F101" s="34">
        <f t="shared" si="3"/>
        <v>334.48211786480834</v>
      </c>
      <c r="G101" t="str" cm="1">
        <f t="array" ref="G101">IFERROR(
  _xlfn.IFS(F101="Current City","No Direction",
    OR(F101&gt;=337.5,F101&lt;22.5),"N",
    F101&lt;67.5,"NE",
    F101&lt;112.5,"E",
    F101&lt;157.5,"SE",
    F101&lt;202.5,"S",
    F101&lt;247.5,"SW",
    F101&lt;292.5,"W",
    F101&lt;337.5,"NW"
  ), "No Direction"
)</f>
        <v>NW</v>
      </c>
    </row>
    <row r="102" spans="1:7" x14ac:dyDescent="0.2">
      <c r="A102" t="s">
        <v>293</v>
      </c>
      <c r="B102" t="s">
        <v>293</v>
      </c>
      <c r="C102">
        <v>30.742599999999999</v>
      </c>
      <c r="D102">
        <v>76.758724657534202</v>
      </c>
      <c r="E102">
        <f t="shared" si="2"/>
        <v>1396.7699188513441</v>
      </c>
      <c r="F102" s="34">
        <f t="shared" si="3"/>
        <v>314.08682009045032</v>
      </c>
      <c r="G102" t="str" cm="1">
        <f t="array" ref="G102">IFERROR(
  _xlfn.IFS(F102="Current City","No Direction",
    OR(F102&gt;=337.5,F102&lt;22.5),"N",
    F102&lt;67.5,"NE",
    F102&lt;112.5,"E",
    F102&lt;157.5,"SE",
    F102&lt;202.5,"S",
    F102&lt;247.5,"SW",
    F102&lt;292.5,"W",
    F102&lt;337.5,"NW"
  ), "No Direction"
)</f>
        <v>NW</v>
      </c>
    </row>
    <row r="103" spans="1:7" x14ac:dyDescent="0.2">
      <c r="A103" t="s">
        <v>295</v>
      </c>
      <c r="B103" t="s">
        <v>296</v>
      </c>
      <c r="C103">
        <v>19.393866751269002</v>
      </c>
      <c r="D103">
        <v>81.528951269035403</v>
      </c>
      <c r="E103">
        <f t="shared" si="2"/>
        <v>677.66095479198771</v>
      </c>
      <c r="F103" s="34">
        <f t="shared" si="3"/>
        <v>241.97577187031348</v>
      </c>
      <c r="G103" t="str" cm="1">
        <f t="array" ref="G103">IFERROR(
  _xlfn.IFS(F103="Current City","No Direction",
    OR(F103&gt;=337.5,F103&lt;22.5),"N",
    F103&lt;67.5,"NE",
    F103&lt;112.5,"E",
    F103&lt;157.5,"SE",
    F103&lt;202.5,"S",
    F103&lt;247.5,"SW",
    F103&lt;292.5,"W",
    F103&lt;337.5,"NW"
  ), "No Direction"
)</f>
        <v>SW</v>
      </c>
    </row>
    <row r="104" spans="1:7" x14ac:dyDescent="0.2">
      <c r="A104" t="s">
        <v>295</v>
      </c>
      <c r="B104" t="s">
        <v>299</v>
      </c>
      <c r="C104">
        <v>22.356942982456101</v>
      </c>
      <c r="D104">
        <v>81.997703508771806</v>
      </c>
      <c r="E104">
        <f t="shared" si="2"/>
        <v>538.15303671420486</v>
      </c>
      <c r="F104" s="34">
        <f t="shared" si="3"/>
        <v>271.02006513635172</v>
      </c>
      <c r="G104" t="str" cm="1">
        <f t="array" ref="G104">IFERROR(
  _xlfn.IFS(F104="Current City","No Direction",
    OR(F104&gt;=337.5,F104&lt;22.5),"N",
    F104&lt;67.5,"NE",
    F104&lt;112.5,"E",
    F104&lt;157.5,"SE",
    F104&lt;202.5,"S",
    F104&lt;247.5,"SW",
    F104&lt;292.5,"W",
    F104&lt;337.5,"NW"
  ), "No Direction"
)</f>
        <v>W</v>
      </c>
    </row>
    <row r="105" spans="1:7" x14ac:dyDescent="0.2">
      <c r="A105" t="s">
        <v>295</v>
      </c>
      <c r="B105" t="s">
        <v>302</v>
      </c>
      <c r="C105">
        <v>18.653854086538399</v>
      </c>
      <c r="D105">
        <v>81.072001201923101</v>
      </c>
      <c r="E105">
        <f t="shared" si="2"/>
        <v>761.96145588684226</v>
      </c>
      <c r="F105" s="34">
        <f t="shared" si="3"/>
        <v>238.42713851366062</v>
      </c>
      <c r="G105" t="str" cm="1">
        <f t="array" ref="G105">IFERROR(
  _xlfn.IFS(F105="Current City","No Direction",
    OR(F105&gt;=337.5,F105&lt;22.5),"N",
    F105&lt;67.5,"NE",
    F105&lt;112.5,"E",
    F105&lt;157.5,"SE",
    F105&lt;202.5,"S",
    F105&lt;247.5,"SW",
    F105&lt;292.5,"W",
    F105&lt;337.5,"NW"
  ), "No Direction"
)</f>
        <v>SW</v>
      </c>
    </row>
    <row r="106" spans="1:7" x14ac:dyDescent="0.2">
      <c r="A106" t="s">
        <v>295</v>
      </c>
      <c r="B106" t="s">
        <v>305</v>
      </c>
      <c r="C106">
        <v>20.554912627291198</v>
      </c>
      <c r="D106">
        <v>81.7569195519348</v>
      </c>
      <c r="E106">
        <f t="shared" si="2"/>
        <v>600.77037055835319</v>
      </c>
      <c r="F106" s="34">
        <f t="shared" si="3"/>
        <v>251.55801271251167</v>
      </c>
      <c r="G106" t="str" cm="1">
        <f t="array" ref="G106">IFERROR(
  _xlfn.IFS(F106="Current City","No Direction",
    OR(F106&gt;=337.5,F106&lt;22.5),"N",
    F106&lt;67.5,"NE",
    F106&lt;112.5,"E",
    F106&lt;157.5,"SE",
    F106&lt;202.5,"S",
    F106&lt;247.5,"SW",
    F106&lt;292.5,"W",
    F106&lt;337.5,"NW"
  ), "No Direction"
)</f>
        <v>W</v>
      </c>
    </row>
    <row r="107" spans="1:7" x14ac:dyDescent="0.2">
      <c r="A107" t="s">
        <v>295</v>
      </c>
      <c r="B107" t="s">
        <v>307</v>
      </c>
      <c r="C107">
        <v>21.1944638492871</v>
      </c>
      <c r="D107">
        <v>81.3318163951119</v>
      </c>
      <c r="E107">
        <f t="shared" si="2"/>
        <v>622.62298318412945</v>
      </c>
      <c r="F107" s="34">
        <f t="shared" si="3"/>
        <v>259.14569318104679</v>
      </c>
      <c r="G107" t="str" cm="1">
        <f t="array" ref="G107">IFERROR(
  _xlfn.IFS(F107="Current City","No Direction",
    OR(F107&gt;=337.5,F107&lt;22.5),"N",
    F107&lt;67.5,"NE",
    F107&lt;112.5,"E",
    F107&lt;157.5,"SE",
    F107&lt;202.5,"S",
    F107&lt;247.5,"SW",
    F107&lt;292.5,"W",
    F107&lt;337.5,"NW"
  ), "No Direction"
)</f>
        <v>W</v>
      </c>
    </row>
    <row r="108" spans="1:7" x14ac:dyDescent="0.2">
      <c r="A108" t="s">
        <v>295</v>
      </c>
      <c r="B108" t="s">
        <v>310</v>
      </c>
      <c r="C108">
        <v>21.96109375</v>
      </c>
      <c r="D108">
        <v>82.804954086538402</v>
      </c>
      <c r="E108">
        <f t="shared" si="2"/>
        <v>457.88961001389697</v>
      </c>
      <c r="F108" s="34">
        <f t="shared" si="3"/>
        <v>265.35026582141734</v>
      </c>
      <c r="G108" t="str" cm="1">
        <f t="array" ref="G108">IFERROR(
  _xlfn.IFS(F108="Current City","No Direction",
    OR(F108&gt;=337.5,F108&lt;22.5),"N",
    F108&lt;67.5,"NE",
    F108&lt;112.5,"E",
    F108&lt;157.5,"SE",
    F108&lt;202.5,"S",
    F108&lt;247.5,"SW",
    F108&lt;292.5,"W",
    F108&lt;337.5,"NW"
  ), "No Direction"
)</f>
        <v>W</v>
      </c>
    </row>
    <row r="109" spans="1:7" x14ac:dyDescent="0.2">
      <c r="A109" t="s">
        <v>295</v>
      </c>
      <c r="B109" t="s">
        <v>313</v>
      </c>
      <c r="C109">
        <v>22.772861676646599</v>
      </c>
      <c r="D109">
        <v>83.870396207584804</v>
      </c>
      <c r="E109">
        <f t="shared" si="2"/>
        <v>348.18631751173217</v>
      </c>
      <c r="F109" s="34">
        <f t="shared" si="3"/>
        <v>278.31322032377102</v>
      </c>
      <c r="G109" t="str" cm="1">
        <f t="array" ref="G109">IFERROR(
  _xlfn.IFS(F109="Current City","No Direction",
    OR(F109&gt;=337.5,F109&lt;22.5),"N",
    F109&lt;67.5,"NE",
    F109&lt;112.5,"E",
    F109&lt;157.5,"SE",
    F109&lt;202.5,"S",
    F109&lt;247.5,"SW",
    F109&lt;292.5,"W",
    F109&lt;337.5,"NW"
  ), "No Direction"
)</f>
        <v>W</v>
      </c>
    </row>
    <row r="110" spans="1:7" x14ac:dyDescent="0.2">
      <c r="A110" t="s">
        <v>295</v>
      </c>
      <c r="B110" t="s">
        <v>315</v>
      </c>
      <c r="C110">
        <v>20.139461285008199</v>
      </c>
      <c r="D110">
        <v>81.069130807248698</v>
      </c>
      <c r="E110">
        <f t="shared" si="2"/>
        <v>684.37239207962523</v>
      </c>
      <c r="F110" s="34">
        <f t="shared" si="3"/>
        <v>250.04275640462834</v>
      </c>
      <c r="G110" t="str" cm="1">
        <f t="array" ref="G110">IFERROR(
  _xlfn.IFS(F110="Current City","No Direction",
    OR(F110&gt;=337.5,F110&lt;22.5),"N",
    F110&lt;67.5,"NE",
    F110&lt;112.5,"E",
    F110&lt;157.5,"SE",
    F110&lt;202.5,"S",
    F110&lt;247.5,"SW",
    F110&lt;292.5,"W",
    F110&lt;337.5,"NW"
  ), "No Direction"
)</f>
        <v>W</v>
      </c>
    </row>
    <row r="111" spans="1:7" x14ac:dyDescent="0.2">
      <c r="A111" t="s">
        <v>295</v>
      </c>
      <c r="B111" t="s">
        <v>318</v>
      </c>
      <c r="C111">
        <v>22.0480007920792</v>
      </c>
      <c r="D111">
        <v>81.162711881188102</v>
      </c>
      <c r="E111">
        <f t="shared" si="2"/>
        <v>625.62665045863127</v>
      </c>
      <c r="F111" s="34">
        <f t="shared" si="3"/>
        <v>268.02376126593822</v>
      </c>
      <c r="G111" t="str" cm="1">
        <f t="array" ref="G111">IFERROR(
  _xlfn.IFS(F111="Current City","No Direction",
    OR(F111&gt;=337.5,F111&lt;22.5),"N",
    F111&lt;67.5,"NE",
    F111&lt;112.5,"E",
    F111&lt;157.5,"SE",
    F111&lt;202.5,"S",
    F111&lt;247.5,"SW",
    F111&lt;292.5,"W",
    F111&lt;337.5,"NW"
  ), "No Direction"
)</f>
        <v>W</v>
      </c>
    </row>
    <row r="112" spans="1:7" x14ac:dyDescent="0.2">
      <c r="A112" t="s">
        <v>295</v>
      </c>
      <c r="B112" t="s">
        <v>321</v>
      </c>
      <c r="C112">
        <v>22.491712499999899</v>
      </c>
      <c r="D112">
        <v>82.576043269230695</v>
      </c>
      <c r="E112">
        <f t="shared" si="2"/>
        <v>478.69571474866427</v>
      </c>
      <c r="F112" s="34">
        <f t="shared" si="3"/>
        <v>272.70835030008834</v>
      </c>
      <c r="G112" t="str" cm="1">
        <f t="array" ref="G112">IFERROR(
  _xlfn.IFS(F112="Current City","No Direction",
    OR(F112&gt;=337.5,F112&lt;22.5),"N",
    F112&lt;67.5,"NE",
    F112&lt;112.5,"E",
    F112&lt;157.5,"SE",
    F112&lt;202.5,"S",
    F112&lt;247.5,"SW",
    F112&lt;292.5,"W",
    F112&lt;337.5,"NW"
  ), "No Direction"
)</f>
        <v>W</v>
      </c>
    </row>
    <row r="113" spans="1:7" x14ac:dyDescent="0.2">
      <c r="A113" t="s">
        <v>295</v>
      </c>
      <c r="B113" t="s">
        <v>324</v>
      </c>
      <c r="C113">
        <v>23.504127768595001</v>
      </c>
      <c r="D113">
        <v>82.125156363636293</v>
      </c>
      <c r="E113">
        <f t="shared" si="2"/>
        <v>538.23517535349833</v>
      </c>
      <c r="F113" s="34">
        <f t="shared" si="3"/>
        <v>284.71966302336307</v>
      </c>
      <c r="G113" t="str" cm="1">
        <f t="array" ref="G113">IFERROR(
  _xlfn.IFS(F113="Current City","No Direction",
    OR(F113&gt;=337.5,F113&lt;22.5),"N",
    F113&lt;67.5,"NE",
    F113&lt;112.5,"E",
    F113&lt;157.5,"SE",
    F113&lt;202.5,"S",
    F113&lt;247.5,"SW",
    F113&lt;292.5,"W",
    F113&lt;337.5,"NW"
  ), "No Direction"
)</f>
        <v>W</v>
      </c>
    </row>
    <row r="114" spans="1:7" x14ac:dyDescent="0.2">
      <c r="A114" t="s">
        <v>295</v>
      </c>
      <c r="B114" t="s">
        <v>327</v>
      </c>
      <c r="C114">
        <v>21.223727037773301</v>
      </c>
      <c r="D114">
        <v>82.659254274353799</v>
      </c>
      <c r="E114">
        <f t="shared" si="2"/>
        <v>488.47995043710733</v>
      </c>
      <c r="F114" s="34">
        <f t="shared" si="3"/>
        <v>255.9362159635975</v>
      </c>
      <c r="G114" t="str" cm="1">
        <f t="array" ref="G114">IFERROR(
  _xlfn.IFS(F114="Current City","No Direction",
    OR(F114&gt;=337.5,F114&lt;22.5),"N",
    F114&lt;67.5,"NE",
    F114&lt;112.5,"E",
    F114&lt;157.5,"SE",
    F114&lt;202.5,"S",
    F114&lt;247.5,"SW",
    F114&lt;292.5,"W",
    F114&lt;337.5,"NW"
  ), "No Direction"
)</f>
        <v>W</v>
      </c>
    </row>
    <row r="115" spans="1:7" x14ac:dyDescent="0.2">
      <c r="A115" t="s">
        <v>295</v>
      </c>
      <c r="B115" t="s">
        <v>330</v>
      </c>
      <c r="C115">
        <v>22.008265068493099</v>
      </c>
      <c r="D115">
        <v>83.277976986301297</v>
      </c>
      <c r="E115">
        <f t="shared" si="2"/>
        <v>408.83542287881818</v>
      </c>
      <c r="F115" s="34">
        <f t="shared" si="3"/>
        <v>265.33908643903817</v>
      </c>
      <c r="G115" t="str" cm="1">
        <f t="array" ref="G115">IFERROR(
  _xlfn.IFS(F115="Current City","No Direction",
    OR(F115&gt;=337.5,F115&lt;22.5),"N",
    F115&lt;67.5,"NE",
    F115&lt;112.5,"E",
    F115&lt;157.5,"SE",
    F115&lt;202.5,"S",
    F115&lt;247.5,"SW",
    F115&lt;292.5,"W",
    F115&lt;337.5,"NW"
  ), "No Direction"
)</f>
        <v>W</v>
      </c>
    </row>
    <row r="116" spans="1:7" x14ac:dyDescent="0.2">
      <c r="A116" t="s">
        <v>295</v>
      </c>
      <c r="B116" t="s">
        <v>333</v>
      </c>
      <c r="C116">
        <v>20.886031538461499</v>
      </c>
      <c r="D116">
        <v>82.200327596153798</v>
      </c>
      <c r="E116">
        <f t="shared" si="2"/>
        <v>545.03561469121416</v>
      </c>
      <c r="F116" s="34">
        <f t="shared" si="3"/>
        <v>253.50199931863824</v>
      </c>
      <c r="G116" t="str" cm="1">
        <f t="array" ref="G116">IFERROR(
  _xlfn.IFS(F116="Current City","No Direction",
    OR(F116&gt;=337.5,F116&lt;22.5),"N",
    F116&lt;67.5,"NE",
    F116&lt;112.5,"E",
    F116&lt;157.5,"SE",
    F116&lt;202.5,"S",
    F116&lt;247.5,"SW",
    F116&lt;292.5,"W",
    F116&lt;337.5,"NW"
  ), "No Direction"
)</f>
        <v>W</v>
      </c>
    </row>
    <row r="117" spans="1:7" x14ac:dyDescent="0.2">
      <c r="A117" t="s">
        <v>295</v>
      </c>
      <c r="B117" t="s">
        <v>336</v>
      </c>
      <c r="C117">
        <v>21.058414734950599</v>
      </c>
      <c r="D117">
        <v>80.785266936208302</v>
      </c>
      <c r="E117">
        <f t="shared" si="2"/>
        <v>681.26909800712406</v>
      </c>
      <c r="F117" s="34">
        <f t="shared" si="3"/>
        <v>258.99051531677452</v>
      </c>
      <c r="G117" t="str" cm="1">
        <f t="array" ref="G117">IFERROR(
  _xlfn.IFS(F117="Current City","No Direction",
    OR(F117&gt;=337.5,F117&lt;22.5),"N",
    F117&lt;67.5,"NE",
    F117&lt;112.5,"E",
    F117&lt;157.5,"SE",
    F117&lt;202.5,"S",
    F117&lt;247.5,"SW",
    F117&lt;292.5,"W",
    F117&lt;337.5,"NW"
  ), "No Direction"
)</f>
        <v>W</v>
      </c>
    </row>
    <row r="118" spans="1:7" x14ac:dyDescent="0.2">
      <c r="A118" t="s">
        <v>295</v>
      </c>
      <c r="B118" t="s">
        <v>339</v>
      </c>
      <c r="C118">
        <v>23.327192787285998</v>
      </c>
      <c r="D118">
        <v>83.235824938875297</v>
      </c>
      <c r="E118">
        <f t="shared" si="2"/>
        <v>423.42465630244538</v>
      </c>
      <c r="F118" s="34">
        <f t="shared" si="3"/>
        <v>285.56244881245863</v>
      </c>
      <c r="G118" t="str" cm="1">
        <f t="array" ref="G118">IFERROR(
  _xlfn.IFS(F118="Current City","No Direction",
    OR(F118&gt;=337.5,F118&lt;22.5),"N",
    F118&lt;67.5,"NE",
    F118&lt;112.5,"E",
    F118&lt;157.5,"SE",
    F118&lt;202.5,"S",
    F118&lt;247.5,"SW",
    F118&lt;292.5,"W",
    F118&lt;337.5,"NW"
  ), "No Direction"
)</f>
        <v>W</v>
      </c>
    </row>
    <row r="119" spans="1:7" x14ac:dyDescent="0.2">
      <c r="A119" t="s">
        <v>342</v>
      </c>
      <c r="B119" t="s">
        <v>342</v>
      </c>
      <c r="C119">
        <v>20.215132170542599</v>
      </c>
      <c r="D119">
        <v>73.0945496124031</v>
      </c>
      <c r="E119">
        <f t="shared" si="2"/>
        <v>1483.2690920067032</v>
      </c>
      <c r="F119" s="34">
        <f t="shared" si="3"/>
        <v>263.39733568202706</v>
      </c>
      <c r="G119" t="str" cm="1">
        <f t="array" ref="G119">IFERROR(
  _xlfn.IFS(F119="Current City","No Direction",
    OR(F119&gt;=337.5,F119&lt;22.5),"N",
    F119&lt;67.5,"NE",
    F119&lt;112.5,"E",
    F119&lt;157.5,"SE",
    F119&lt;202.5,"S",
    F119&lt;247.5,"SW",
    F119&lt;292.5,"W",
    F119&lt;337.5,"NW"
  ), "No Direction"
)</f>
        <v>W</v>
      </c>
    </row>
    <row r="120" spans="1:7" x14ac:dyDescent="0.2">
      <c r="A120" t="s">
        <v>345</v>
      </c>
      <c r="B120" t="s">
        <v>346</v>
      </c>
      <c r="C120">
        <v>20.431616666666599</v>
      </c>
      <c r="D120">
        <v>72.839236607142894</v>
      </c>
      <c r="E120">
        <f t="shared" si="2"/>
        <v>1504.679511793245</v>
      </c>
      <c r="F120" s="34">
        <f t="shared" si="3"/>
        <v>264.51232186541489</v>
      </c>
      <c r="G120" t="str" cm="1">
        <f t="array" ref="G120">IFERROR(
  _xlfn.IFS(F120="Current City","No Direction",
    OR(F120&gt;=337.5,F120&lt;22.5),"N",
    F120&lt;67.5,"NE",
    F120&lt;112.5,"E",
    F120&lt;157.5,"SE",
    F120&lt;202.5,"S",
    F120&lt;247.5,"SW",
    F120&lt;292.5,"W",
    F120&lt;337.5,"NW"
  ), "No Direction"
)</f>
        <v>W</v>
      </c>
    </row>
    <row r="121" spans="1:7" x14ac:dyDescent="0.2">
      <c r="A121" t="s">
        <v>345</v>
      </c>
      <c r="B121" t="s">
        <v>348</v>
      </c>
      <c r="C121">
        <v>20.725681994981102</v>
      </c>
      <c r="D121">
        <v>70.839856398996105</v>
      </c>
      <c r="E121">
        <f t="shared" si="2"/>
        <v>1704.1095781822082</v>
      </c>
      <c r="F121" s="34">
        <f t="shared" si="3"/>
        <v>266.96935018679864</v>
      </c>
      <c r="G121" t="str" cm="1">
        <f t="array" ref="G121">IFERROR(
  _xlfn.IFS(F121="Current City","No Direction",
    OR(F121&gt;=337.5,F121&lt;22.5),"N",
    F121&lt;67.5,"NE",
    F121&lt;112.5,"E",
    F121&lt;157.5,"SE",
    F121&lt;202.5,"S",
    F121&lt;247.5,"SW",
    F121&lt;292.5,"W",
    F121&lt;337.5,"NW"
  ), "No Direction"
)</f>
        <v>W</v>
      </c>
    </row>
    <row r="122" spans="1:7" x14ac:dyDescent="0.2">
      <c r="A122" t="s">
        <v>351</v>
      </c>
      <c r="B122" t="s">
        <v>351</v>
      </c>
      <c r="C122">
        <v>28.645944298245599</v>
      </c>
      <c r="D122">
        <v>77.128045175438501</v>
      </c>
      <c r="E122">
        <f t="shared" si="2"/>
        <v>1230.9449336456423</v>
      </c>
      <c r="F122" s="34">
        <f t="shared" si="3"/>
        <v>306.70157209623636</v>
      </c>
      <c r="G122" t="str" cm="1">
        <f t="array" ref="G122">IFERROR(
  _xlfn.IFS(F122="Current City","No Direction",
    OR(F122&gt;=337.5,F122&lt;22.5),"N",
    F122&lt;67.5,"NE",
    F122&lt;112.5,"E",
    F122&lt;157.5,"SE",
    F122&lt;202.5,"S",
    F122&lt;247.5,"SW",
    F122&lt;292.5,"W",
    F122&lt;337.5,"NW"
  ), "No Direction"
)</f>
        <v>NW</v>
      </c>
    </row>
    <row r="123" spans="1:7" x14ac:dyDescent="0.2">
      <c r="A123" t="s">
        <v>354</v>
      </c>
      <c r="B123" t="s">
        <v>355</v>
      </c>
      <c r="C123">
        <v>15.548723418713999</v>
      </c>
      <c r="D123">
        <v>73.806679979090305</v>
      </c>
      <c r="E123">
        <f t="shared" si="2"/>
        <v>1600.5627380592357</v>
      </c>
      <c r="F123" s="34">
        <f t="shared" si="3"/>
        <v>244.12205616455049</v>
      </c>
      <c r="G123" t="str" cm="1">
        <f t="array" ref="G123">IFERROR(
  _xlfn.IFS(F123="Current City","No Direction",
    OR(F123&gt;=337.5,F123&lt;22.5),"N",
    F123&lt;67.5,"NE",
    F123&lt;112.5,"E",
    F123&lt;157.5,"SE",
    F123&lt;202.5,"S",
    F123&lt;247.5,"SW",
    F123&lt;292.5,"W",
    F123&lt;337.5,"NW"
  ), "No Direction"
)</f>
        <v>SW</v>
      </c>
    </row>
    <row r="124" spans="1:7" x14ac:dyDescent="0.2">
      <c r="A124" t="s">
        <v>354</v>
      </c>
      <c r="B124" t="s">
        <v>358</v>
      </c>
      <c r="C124">
        <v>15.1952786581837</v>
      </c>
      <c r="D124">
        <v>73.941792596876994</v>
      </c>
      <c r="E124">
        <f t="shared" si="2"/>
        <v>1608.3624584268</v>
      </c>
      <c r="F124" s="34">
        <f t="shared" si="3"/>
        <v>242.63676187176264</v>
      </c>
      <c r="G124" t="str" cm="1">
        <f t="array" ref="G124">IFERROR(
  _xlfn.IFS(F124="Current City","No Direction",
    OR(F124&gt;=337.5,F124&lt;22.5),"N",
    F124&lt;67.5,"NE",
    F124&lt;112.5,"E",
    F124&lt;157.5,"SE",
    F124&lt;202.5,"S",
    F124&lt;247.5,"SW",
    F124&lt;292.5,"W",
    F124&lt;337.5,"NW"
  ), "No Direction"
)</f>
        <v>SW</v>
      </c>
    </row>
    <row r="125" spans="1:7" x14ac:dyDescent="0.2">
      <c r="A125" t="s">
        <v>360</v>
      </c>
      <c r="B125" t="s">
        <v>361</v>
      </c>
      <c r="C125">
        <v>22.6054255649717</v>
      </c>
      <c r="D125">
        <v>72.238981355932196</v>
      </c>
      <c r="E125">
        <f t="shared" si="2"/>
        <v>1539.9670805358828</v>
      </c>
      <c r="F125" s="34">
        <f t="shared" si="3"/>
        <v>273.91041269685968</v>
      </c>
      <c r="G125" t="str" cm="1">
        <f t="array" ref="G125">IFERROR(
  _xlfn.IFS(F125="Current City","No Direction",
    OR(F125&gt;=337.5,F125&lt;22.5),"N",
    F125&lt;67.5,"NE",
    F125&lt;112.5,"E",
    F125&lt;157.5,"SE",
    F125&lt;202.5,"S",
    F125&lt;247.5,"SW",
    F125&lt;292.5,"W",
    F125&lt;337.5,"NW"
  ), "No Direction"
)</f>
        <v>W</v>
      </c>
    </row>
    <row r="126" spans="1:7" x14ac:dyDescent="0.2">
      <c r="A126" t="s">
        <v>360</v>
      </c>
      <c r="B126" t="s">
        <v>364</v>
      </c>
      <c r="C126">
        <v>21.0483264931087</v>
      </c>
      <c r="D126">
        <v>71.434576378254206</v>
      </c>
      <c r="E126">
        <f t="shared" si="2"/>
        <v>1637.6814769171683</v>
      </c>
      <c r="F126" s="34">
        <f t="shared" si="3"/>
        <v>267.88179506149095</v>
      </c>
      <c r="G126" t="str" cm="1">
        <f t="array" ref="G126">IFERROR(
  _xlfn.IFS(F126="Current City","No Direction",
    OR(F126&gt;=337.5,F126&lt;22.5),"N",
    F126&lt;67.5,"NE",
    F126&lt;112.5,"E",
    F126&lt;157.5,"SE",
    F126&lt;202.5,"S",
    F126&lt;247.5,"SW",
    F126&lt;292.5,"W",
    F126&lt;337.5,"NW"
  ), "No Direction"
)</f>
        <v>W</v>
      </c>
    </row>
    <row r="127" spans="1:7" x14ac:dyDescent="0.2">
      <c r="A127" t="s">
        <v>360</v>
      </c>
      <c r="B127" t="s">
        <v>367</v>
      </c>
      <c r="C127">
        <v>22.282718206229799</v>
      </c>
      <c r="D127">
        <v>72.577820515574501</v>
      </c>
      <c r="E127">
        <f t="shared" si="2"/>
        <v>1506.72298376145</v>
      </c>
      <c r="F127" s="34">
        <f t="shared" si="3"/>
        <v>272.49197753103198</v>
      </c>
      <c r="G127" t="str" cm="1">
        <f t="array" ref="G127">IFERROR(
  _xlfn.IFS(F127="Current City","No Direction",
    OR(F127&gt;=337.5,F127&lt;22.5),"N",
    F127&lt;67.5,"NE",
    F127&lt;112.5,"E",
    F127&lt;157.5,"SE",
    F127&lt;202.5,"S",
    F127&lt;247.5,"SW",
    F127&lt;292.5,"W",
    F127&lt;337.5,"NW"
  ), "No Direction"
)</f>
        <v>W</v>
      </c>
    </row>
    <row r="128" spans="1:7" x14ac:dyDescent="0.2">
      <c r="A128" t="s">
        <v>360</v>
      </c>
      <c r="B128" t="s">
        <v>370</v>
      </c>
      <c r="C128">
        <v>24.2585389655172</v>
      </c>
      <c r="D128">
        <v>71.932052528735596</v>
      </c>
      <c r="E128">
        <f t="shared" si="2"/>
        <v>1575.7906095244246</v>
      </c>
      <c r="F128" s="34">
        <f t="shared" si="3"/>
        <v>280.71225382565132</v>
      </c>
      <c r="G128" t="str" cm="1">
        <f t="array" ref="G128">IFERROR(
  _xlfn.IFS(F128="Current City","No Direction",
    OR(F128&gt;=337.5,F128&lt;22.5),"N",
    F128&lt;67.5,"NE",
    F128&lt;112.5,"E",
    F128&lt;157.5,"SE",
    F128&lt;202.5,"S",
    F128&lt;247.5,"SW",
    F128&lt;292.5,"W",
    F128&lt;337.5,"NW"
  ), "No Direction"
)</f>
        <v>W</v>
      </c>
    </row>
    <row r="129" spans="1:7" x14ac:dyDescent="0.2">
      <c r="A129" t="s">
        <v>360</v>
      </c>
      <c r="B129" t="s">
        <v>373</v>
      </c>
      <c r="C129">
        <v>21.757872762377598</v>
      </c>
      <c r="D129">
        <v>72.673263467108001</v>
      </c>
      <c r="E129">
        <f t="shared" si="2"/>
        <v>1501.1658617403325</v>
      </c>
      <c r="F129" s="34">
        <f t="shared" si="3"/>
        <v>270.22609140240388</v>
      </c>
      <c r="G129" t="str" cm="1">
        <f t="array" ref="G129">IFERROR(
  _xlfn.IFS(F129="Current City","No Direction",
    OR(F129&gt;=337.5,F129&lt;22.5),"N",
    F129&lt;67.5,"NE",
    F129&lt;112.5,"E",
    F129&lt;157.5,"SE",
    F129&lt;202.5,"S",
    F129&lt;247.5,"SW",
    F129&lt;292.5,"W",
    F129&lt;337.5,"NW"
  ), "No Direction"
)</f>
        <v>W</v>
      </c>
    </row>
    <row r="130" spans="1:7" x14ac:dyDescent="0.2">
      <c r="A130" t="s">
        <v>360</v>
      </c>
      <c r="B130" t="s">
        <v>376</v>
      </c>
      <c r="C130">
        <v>21.702193903417299</v>
      </c>
      <c r="D130">
        <v>72.162726327611395</v>
      </c>
      <c r="E130">
        <f t="shared" ref="E130:E193" si="4">2*6371*ASIN(SQRT(
    SIN(RADIANS(C130-$M$7)/2)^2 +
    COS(RADIANS($M$7)) * COS(RADIANS(C130)) *
    SIN(RADIANS(D130-$M$8)/2)^2
))</f>
        <v>1554.2491317425277</v>
      </c>
      <c r="F130" s="34">
        <f t="shared" si="3"/>
        <v>270.18002118542853</v>
      </c>
      <c r="G130" t="str" cm="1">
        <f t="array" ref="G130">IFERROR(
  _xlfn.IFS(F130="Current City","No Direction",
    OR(F130&gt;=337.5,F130&lt;22.5),"N",
    F130&lt;67.5,"NE",
    F130&lt;112.5,"E",
    F130&lt;157.5,"SE",
    F130&lt;202.5,"S",
    F130&lt;247.5,"SW",
    F130&lt;292.5,"W",
    F130&lt;337.5,"NW"
  ), "No Direction"
)</f>
        <v>W</v>
      </c>
    </row>
    <row r="131" spans="1:7" x14ac:dyDescent="0.2">
      <c r="A131" t="s">
        <v>360</v>
      </c>
      <c r="B131" t="s">
        <v>379</v>
      </c>
      <c r="C131">
        <v>22.897992252252202</v>
      </c>
      <c r="D131">
        <v>73.991706126126005</v>
      </c>
      <c r="E131">
        <f t="shared" si="4"/>
        <v>1359.7215583599243</v>
      </c>
      <c r="F131" s="34">
        <f t="shared" ref="F131:F194" si="5">IFERROR(MOD(DEGREES(ATAN2(COS(RADIANS($M$7))*SIN(RADIANS(C131))-SIN(RADIANS($M$7))*COS(RADIANS(C131))*COS(RADIANS(D131-$M$8)), SIN(RADIANS(D131-$M$8))*COS(RADIANS(C131))))+360, 360),"Current City")</f>
        <v>275.0897836621192</v>
      </c>
      <c r="G131" t="str" cm="1">
        <f t="array" ref="G131">IFERROR(
  _xlfn.IFS(F131="Current City","No Direction",
    OR(F131&gt;=337.5,F131&lt;22.5),"N",
    F131&lt;67.5,"NE",
    F131&lt;112.5,"E",
    F131&lt;157.5,"SE",
    F131&lt;202.5,"S",
    F131&lt;247.5,"SW",
    F131&lt;292.5,"W",
    F131&lt;337.5,"NW"
  ), "No Direction"
)</f>
        <v>W</v>
      </c>
    </row>
    <row r="132" spans="1:7" x14ac:dyDescent="0.2">
      <c r="A132" t="s">
        <v>360</v>
      </c>
      <c r="B132" t="s">
        <v>382</v>
      </c>
      <c r="C132">
        <v>23.193679790026199</v>
      </c>
      <c r="D132">
        <v>72.672216797900205</v>
      </c>
      <c r="E132">
        <f t="shared" si="4"/>
        <v>1494.9397592955258</v>
      </c>
      <c r="F132" s="34">
        <f t="shared" si="5"/>
        <v>276.38713600677534</v>
      </c>
      <c r="G132" t="str" cm="1">
        <f t="array" ref="G132">IFERROR(
  _xlfn.IFS(F132="Current City","No Direction",
    OR(F132&gt;=337.5,F132&lt;22.5),"N",
    F132&lt;67.5,"NE",
    F132&lt;112.5,"E",
    F132&lt;157.5,"SE",
    F132&lt;202.5,"S",
    F132&lt;247.5,"SW",
    F132&lt;292.5,"W",
    F132&lt;337.5,"NW"
  ), "No Direction"
)</f>
        <v>W</v>
      </c>
    </row>
    <row r="133" spans="1:7" x14ac:dyDescent="0.2">
      <c r="A133" t="s">
        <v>360</v>
      </c>
      <c r="B133" t="s">
        <v>385</v>
      </c>
      <c r="C133">
        <v>22.4106004142633</v>
      </c>
      <c r="D133">
        <v>69.620620057682302</v>
      </c>
      <c r="E133">
        <f t="shared" si="4"/>
        <v>1809.6269653089189</v>
      </c>
      <c r="F133" s="34">
        <f t="shared" si="5"/>
        <v>273.57013808019605</v>
      </c>
      <c r="G133" t="str" cm="1">
        <f t="array" ref="G133">IFERROR(
  _xlfn.IFS(F133="Current City","No Direction",
    OR(F133&gt;=337.5,F133&lt;22.5),"N",
    F133&lt;67.5,"NE",
    F133&lt;112.5,"E",
    F133&lt;157.5,"SE",
    F133&lt;202.5,"S",
    F133&lt;247.5,"SW",
    F133&lt;292.5,"W",
    F133&lt;337.5,"NW"
  ), "No Direction"
)</f>
        <v>W</v>
      </c>
    </row>
    <row r="134" spans="1:7" x14ac:dyDescent="0.2">
      <c r="A134" t="s">
        <v>360</v>
      </c>
      <c r="B134" t="s">
        <v>348</v>
      </c>
      <c r="C134">
        <v>20.9295230116097</v>
      </c>
      <c r="D134">
        <v>70.547338901403407</v>
      </c>
      <c r="E134">
        <f t="shared" si="4"/>
        <v>1730.7342462071338</v>
      </c>
      <c r="F134" s="34">
        <f t="shared" si="5"/>
        <v>267.88121023106009</v>
      </c>
      <c r="G134" t="str" cm="1">
        <f t="array" ref="G134">IFERROR(
  _xlfn.IFS(F134="Current City","No Direction",
    OR(F134&gt;=337.5,F134&lt;22.5),"N",
    F134&lt;67.5,"NE",
    F134&lt;112.5,"E",
    F134&lt;157.5,"SE",
    F134&lt;202.5,"S",
    F134&lt;247.5,"SW",
    F134&lt;292.5,"W",
    F134&lt;337.5,"NW"
  ), "No Direction"
)</f>
        <v>W</v>
      </c>
    </row>
    <row r="135" spans="1:7" x14ac:dyDescent="0.2">
      <c r="A135" t="s">
        <v>360</v>
      </c>
      <c r="B135" t="s">
        <v>390</v>
      </c>
      <c r="C135">
        <v>23.4805720330131</v>
      </c>
      <c r="D135">
        <v>68.821923014979106</v>
      </c>
      <c r="E135">
        <f t="shared" si="4"/>
        <v>1888.2836734486659</v>
      </c>
      <c r="F135" s="34">
        <f t="shared" si="5"/>
        <v>277.37636613091757</v>
      </c>
      <c r="G135" t="str" cm="1">
        <f t="array" ref="G135">IFERROR(
  _xlfn.IFS(F135="Current City","No Direction",
    OR(F135&gt;=337.5,F135&lt;22.5),"N",
    F135&lt;67.5,"NE",
    F135&lt;112.5,"E",
    F135&lt;157.5,"SE",
    F135&lt;202.5,"S",
    F135&lt;247.5,"SW",
    F135&lt;292.5,"W",
    F135&lt;337.5,"NW"
  ), "No Direction"
)</f>
        <v>W</v>
      </c>
    </row>
    <row r="136" spans="1:7" x14ac:dyDescent="0.2">
      <c r="A136" t="s">
        <v>360</v>
      </c>
      <c r="B136" t="s">
        <v>393</v>
      </c>
      <c r="C136">
        <v>22.887653125</v>
      </c>
      <c r="D136">
        <v>73.018803515624995</v>
      </c>
      <c r="E136">
        <f t="shared" si="4"/>
        <v>1459.3859584424008</v>
      </c>
      <c r="F136" s="34">
        <f t="shared" si="5"/>
        <v>275.05888193903121</v>
      </c>
      <c r="G136" t="str" cm="1">
        <f t="array" ref="G136">IFERROR(
  _xlfn.IFS(F136="Current City","No Direction",
    OR(F136&gt;=337.5,F136&lt;22.5),"N",
    F136&lt;67.5,"NE",
    F136&lt;112.5,"E",
    F136&lt;157.5,"SE",
    F136&lt;202.5,"S",
    F136&lt;247.5,"SW",
    F136&lt;292.5,"W",
    F136&lt;337.5,"NW"
  ), "No Direction"
)</f>
        <v>W</v>
      </c>
    </row>
    <row r="137" spans="1:7" x14ac:dyDescent="0.2">
      <c r="A137" t="s">
        <v>360</v>
      </c>
      <c r="B137" t="s">
        <v>395</v>
      </c>
      <c r="C137">
        <v>23.529355452865001</v>
      </c>
      <c r="D137">
        <v>72.455451940850296</v>
      </c>
      <c r="E137">
        <f t="shared" si="4"/>
        <v>1517.9540479213447</v>
      </c>
      <c r="F137" s="34">
        <f t="shared" si="5"/>
        <v>277.79940584256809</v>
      </c>
      <c r="G137" t="str" cm="1">
        <f t="array" ref="G137">IFERROR(
  _xlfn.IFS(F137="Current City","No Direction",
    OR(F137&gt;=337.5,F137&lt;22.5),"N",
    F137&lt;67.5,"NE",
    F137&lt;112.5,"E",
    F137&lt;157.5,"SE",
    F137&lt;202.5,"S",
    F137&lt;247.5,"SW",
    F137&lt;292.5,"W",
    F137&lt;337.5,"NW"
  ), "No Direction"
)</f>
        <v>W</v>
      </c>
    </row>
    <row r="138" spans="1:7" x14ac:dyDescent="0.2">
      <c r="A138" t="s">
        <v>360</v>
      </c>
      <c r="B138" t="s">
        <v>398</v>
      </c>
      <c r="C138">
        <v>21.706663862928298</v>
      </c>
      <c r="D138">
        <v>73.684032087227394</v>
      </c>
      <c r="E138">
        <f t="shared" si="4"/>
        <v>1397.7541808132978</v>
      </c>
      <c r="F138" s="34">
        <f t="shared" si="5"/>
        <v>269.60981610539784</v>
      </c>
      <c r="G138" t="str" cm="1">
        <f t="array" ref="G138">IFERROR(
  _xlfn.IFS(F138="Current City","No Direction",
    OR(F138&gt;=337.5,F138&lt;22.5),"N",
    F138&lt;67.5,"NE",
    F138&lt;112.5,"E",
    F138&lt;157.5,"SE",
    F138&lt;202.5,"S",
    F138&lt;247.5,"SW",
    F138&lt;292.5,"W",
    F138&lt;337.5,"NW"
  ), "No Direction"
)</f>
        <v>W</v>
      </c>
    </row>
    <row r="139" spans="1:7" x14ac:dyDescent="0.2">
      <c r="A139" t="s">
        <v>360</v>
      </c>
      <c r="B139" t="s">
        <v>401</v>
      </c>
      <c r="C139">
        <v>20.866973318871899</v>
      </c>
      <c r="D139">
        <v>72.861848698481495</v>
      </c>
      <c r="E139">
        <f t="shared" si="4"/>
        <v>1494.061098820599</v>
      </c>
      <c r="F139" s="34">
        <f t="shared" si="5"/>
        <v>266.33626506725778</v>
      </c>
      <c r="G139" t="str" cm="1">
        <f t="array" ref="G139">IFERROR(
  _xlfn.IFS(F139="Current City","No Direction",
    OR(F139&gt;=337.5,F139&lt;22.5),"N",
    F139&lt;67.5,"NE",
    F139&lt;112.5,"E",
    F139&lt;157.5,"SE",
    F139&lt;202.5,"S",
    F139&lt;247.5,"SW",
    F139&lt;292.5,"W",
    F139&lt;337.5,"NW"
  ), "No Direction"
)</f>
        <v>W</v>
      </c>
    </row>
    <row r="140" spans="1:7" x14ac:dyDescent="0.2">
      <c r="A140" t="s">
        <v>360</v>
      </c>
      <c r="B140" t="s">
        <v>404</v>
      </c>
      <c r="C140">
        <v>22.804356068375998</v>
      </c>
      <c r="D140">
        <v>73.619845982905801</v>
      </c>
      <c r="E140">
        <f t="shared" si="4"/>
        <v>1397.8802985232633</v>
      </c>
      <c r="F140" s="34">
        <f t="shared" si="5"/>
        <v>274.66220248961679</v>
      </c>
      <c r="G140" t="str" cm="1">
        <f t="array" ref="G140">IFERROR(
  _xlfn.IFS(F140="Current City","No Direction",
    OR(F140&gt;=337.5,F140&lt;22.5),"N",
    F140&lt;67.5,"NE",
    F140&lt;112.5,"E",
    F140&lt;157.5,"SE",
    F140&lt;202.5,"S",
    F140&lt;247.5,"SW",
    F140&lt;292.5,"W",
    F140&lt;337.5,"NW"
  ), "No Direction"
)</f>
        <v>W</v>
      </c>
    </row>
    <row r="141" spans="1:7" x14ac:dyDescent="0.2">
      <c r="A141" t="s">
        <v>360</v>
      </c>
      <c r="B141" t="s">
        <v>407</v>
      </c>
      <c r="C141">
        <v>23.8063419847328</v>
      </c>
      <c r="D141">
        <v>71.751629770992295</v>
      </c>
      <c r="E141">
        <f t="shared" si="4"/>
        <v>1590.8496138551805</v>
      </c>
      <c r="F141" s="34">
        <f t="shared" si="5"/>
        <v>278.83453189428081</v>
      </c>
      <c r="G141" t="str" cm="1">
        <f t="array" ref="G141">IFERROR(
  _xlfn.IFS(F141="Current City","No Direction",
    OR(F141&gt;=337.5,F141&lt;22.5),"N",
    F141&lt;67.5,"NE",
    F141&lt;112.5,"E",
    F141&lt;157.5,"SE",
    F141&lt;202.5,"S",
    F141&lt;247.5,"SW",
    F141&lt;292.5,"W",
    F141&lt;337.5,"NW"
  ), "No Direction"
)</f>
        <v>W</v>
      </c>
    </row>
    <row r="142" spans="1:7" x14ac:dyDescent="0.2">
      <c r="A142" t="s">
        <v>360</v>
      </c>
      <c r="B142" t="s">
        <v>410</v>
      </c>
      <c r="C142">
        <v>21.550923516515699</v>
      </c>
      <c r="D142">
        <v>69.718969877228801</v>
      </c>
      <c r="E142">
        <f t="shared" si="4"/>
        <v>1807.2581810806976</v>
      </c>
      <c r="F142" s="34">
        <f t="shared" si="5"/>
        <v>270.48387629310071</v>
      </c>
      <c r="G142" t="str" cm="1">
        <f t="array" ref="G142">IFERROR(
  _xlfn.IFS(F142="Current City","No Direction",
    OR(F142&gt;=337.5,F142&lt;22.5),"N",
    F142&lt;67.5,"NE",
    F142&lt;112.5,"E",
    F142&lt;157.5,"SE",
    F142&lt;202.5,"S",
    F142&lt;247.5,"SW",
    F142&lt;292.5,"W",
    F142&lt;337.5,"NW"
  ), "No Direction"
)</f>
        <v>W</v>
      </c>
    </row>
    <row r="143" spans="1:7" x14ac:dyDescent="0.2">
      <c r="A143" t="s">
        <v>360</v>
      </c>
      <c r="B143" t="s">
        <v>413</v>
      </c>
      <c r="C143">
        <v>22.4060337771548</v>
      </c>
      <c r="D143">
        <v>70.836794393833202</v>
      </c>
      <c r="E143">
        <f t="shared" si="4"/>
        <v>1684.8118376374878</v>
      </c>
      <c r="F143" s="34">
        <f t="shared" si="5"/>
        <v>273.33137058690568</v>
      </c>
      <c r="G143" t="str" cm="1">
        <f t="array" ref="G143">IFERROR(
  _xlfn.IFS(F143="Current City","No Direction",
    OR(F143&gt;=337.5,F143&lt;22.5),"N",
    F143&lt;67.5,"NE",
    F143&lt;112.5,"E",
    F143&lt;157.5,"SE",
    F143&lt;202.5,"S",
    F143&lt;247.5,"SW",
    F143&lt;292.5,"W",
    F143&lt;337.5,"NW"
  ), "No Direction"
)</f>
        <v>W</v>
      </c>
    </row>
    <row r="144" spans="1:7" x14ac:dyDescent="0.2">
      <c r="A144" t="s">
        <v>360</v>
      </c>
      <c r="B144" t="s">
        <v>416</v>
      </c>
      <c r="C144">
        <v>23.7180359454855</v>
      </c>
      <c r="D144">
        <v>73.136387904599601</v>
      </c>
      <c r="E144">
        <f t="shared" si="4"/>
        <v>1449.6060916970889</v>
      </c>
      <c r="F144" s="34">
        <f t="shared" si="5"/>
        <v>278.73897556368928</v>
      </c>
      <c r="G144" t="str" cm="1">
        <f t="array" ref="G144">IFERROR(
  _xlfn.IFS(F144="Current City","No Direction",
    OR(F144&gt;=337.5,F144&lt;22.5),"N",
    F144&lt;67.5,"NE",
    F144&lt;112.5,"E",
    F144&lt;157.5,"SE",
    F144&lt;202.5,"S",
    F144&lt;247.5,"SW",
    F144&lt;292.5,"W",
    F144&lt;337.5,"NW"
  ), "No Direction"
)</f>
        <v>W</v>
      </c>
    </row>
    <row r="145" spans="1:7" x14ac:dyDescent="0.2">
      <c r="A145" t="s">
        <v>360</v>
      </c>
      <c r="B145" t="s">
        <v>419</v>
      </c>
      <c r="C145">
        <v>21.257613727720901</v>
      </c>
      <c r="D145">
        <v>72.934887163443307</v>
      </c>
      <c r="E145">
        <f t="shared" si="4"/>
        <v>1480.3814906699347</v>
      </c>
      <c r="F145" s="34">
        <f t="shared" si="5"/>
        <v>267.96599351500709</v>
      </c>
      <c r="G145" t="str" cm="1">
        <f t="array" ref="G145">IFERROR(
  _xlfn.IFS(F145="Current City","No Direction",
    OR(F145&gt;=337.5,F145&lt;22.5),"N",
    F145&lt;67.5,"NE",
    F145&lt;112.5,"E",
    F145&lt;157.5,"SE",
    F145&lt;202.5,"S",
    F145&lt;247.5,"SW",
    F145&lt;292.5,"W",
    F145&lt;337.5,"NW"
  ), "No Direction"
)</f>
        <v>W</v>
      </c>
    </row>
    <row r="146" spans="1:7" x14ac:dyDescent="0.2">
      <c r="A146" t="s">
        <v>360</v>
      </c>
      <c r="B146" t="s">
        <v>422</v>
      </c>
      <c r="C146">
        <v>22.8267200729927</v>
      </c>
      <c r="D146">
        <v>71.483587408759007</v>
      </c>
      <c r="E146">
        <f t="shared" si="4"/>
        <v>1616.7692470989841</v>
      </c>
      <c r="F146" s="34">
        <f t="shared" si="5"/>
        <v>274.8880091751347</v>
      </c>
      <c r="G146" t="str" cm="1">
        <f t="array" ref="G146">IFERROR(
  _xlfn.IFS(F146="Current City","No Direction",
    OR(F146&gt;=337.5,F146&lt;22.5),"N",
    F146&lt;67.5,"NE",
    F146&lt;112.5,"E",
    F146&lt;157.5,"SE",
    F146&lt;202.5,"S",
    F146&lt;247.5,"SW",
    F146&lt;292.5,"W",
    F146&lt;337.5,"NW"
  ), "No Direction"
)</f>
        <v>W</v>
      </c>
    </row>
    <row r="147" spans="1:7" x14ac:dyDescent="0.2">
      <c r="A147" t="s">
        <v>360</v>
      </c>
      <c r="B147" t="s">
        <v>425</v>
      </c>
      <c r="C147">
        <v>20.801633877551001</v>
      </c>
      <c r="D147">
        <v>73.688351836734697</v>
      </c>
      <c r="E147">
        <f t="shared" si="4"/>
        <v>1410.44636936964</v>
      </c>
      <c r="F147" s="34">
        <f t="shared" si="5"/>
        <v>265.50201560038994</v>
      </c>
      <c r="G147" t="str" cm="1">
        <f t="array" ref="G147">IFERROR(
  _xlfn.IFS(F147="Current City","No Direction",
    OR(F147&gt;=337.5,F147&lt;22.5),"N",
    F147&lt;67.5,"NE",
    F147&lt;112.5,"E",
    F147&lt;157.5,"SE",
    F147&lt;202.5,"S",
    F147&lt;247.5,"SW",
    F147&lt;292.5,"W",
    F147&lt;337.5,"NW"
  ), "No Direction"
)</f>
        <v>W</v>
      </c>
    </row>
    <row r="148" spans="1:7" x14ac:dyDescent="0.2">
      <c r="A148" t="s">
        <v>360</v>
      </c>
      <c r="B148" t="s">
        <v>427</v>
      </c>
      <c r="C148">
        <v>22.261337392795799</v>
      </c>
      <c r="D148">
        <v>73.494330102915896</v>
      </c>
      <c r="E148">
        <f t="shared" si="4"/>
        <v>1412.6771476146052</v>
      </c>
      <c r="F148" s="34">
        <f t="shared" si="5"/>
        <v>272.19809601079322</v>
      </c>
      <c r="G148" t="str" cm="1">
        <f t="array" ref="G148">IFERROR(
  _xlfn.IFS(F148="Current City","No Direction",
    OR(F148&gt;=337.5,F148&lt;22.5),"N",
    F148&lt;67.5,"NE",
    F148&lt;112.5,"E",
    F148&lt;157.5,"SE",
    F148&lt;202.5,"S",
    F148&lt;247.5,"SW",
    F148&lt;292.5,"W",
    F148&lt;337.5,"NW"
  ), "No Direction"
)</f>
        <v>W</v>
      </c>
    </row>
    <row r="149" spans="1:7" x14ac:dyDescent="0.2">
      <c r="A149" t="s">
        <v>360</v>
      </c>
      <c r="B149" t="s">
        <v>430</v>
      </c>
      <c r="C149">
        <v>20.442382316442501</v>
      </c>
      <c r="D149">
        <v>72.914858479834507</v>
      </c>
      <c r="E149">
        <f t="shared" si="4"/>
        <v>1496.7150383560586</v>
      </c>
      <c r="F149" s="34">
        <f t="shared" si="5"/>
        <v>264.5009828703657</v>
      </c>
      <c r="G149" t="str" cm="1">
        <f t="array" ref="G149">IFERROR(
  _xlfn.IFS(F149="Current City","No Direction",
    OR(F149&gt;=337.5,F149&lt;22.5),"N",
    F149&lt;67.5,"NE",
    F149&lt;112.5,"E",
    F149&lt;157.5,"SE",
    F149&lt;202.5,"S",
    F149&lt;247.5,"SW",
    F149&lt;292.5,"W",
    F149&lt;337.5,"NW"
  ), "No Direction"
)</f>
        <v>W</v>
      </c>
    </row>
    <row r="150" spans="1:7" x14ac:dyDescent="0.2">
      <c r="A150" t="s">
        <v>432</v>
      </c>
      <c r="B150" t="s">
        <v>433</v>
      </c>
      <c r="C150">
        <v>30.350367231638302</v>
      </c>
      <c r="D150">
        <v>76.949703107344504</v>
      </c>
      <c r="E150">
        <f t="shared" si="4"/>
        <v>1355.1189975294724</v>
      </c>
      <c r="F150" s="34">
        <f t="shared" si="5"/>
        <v>313.14654127278624</v>
      </c>
      <c r="G150" t="str" cm="1">
        <f t="array" ref="G150">IFERROR(
  _xlfn.IFS(F150="Current City","No Direction",
    OR(F150&gt;=337.5,F150&lt;22.5),"N",
    F150&lt;67.5,"NE",
    F150&lt;112.5,"E",
    F150&lt;157.5,"SE",
    F150&lt;202.5,"S",
    F150&lt;247.5,"SW",
    F150&lt;292.5,"W",
    F150&lt;337.5,"NW"
  ), "No Direction"
)</f>
        <v>NW</v>
      </c>
    </row>
    <row r="151" spans="1:7" x14ac:dyDescent="0.2">
      <c r="A151" t="s">
        <v>432</v>
      </c>
      <c r="B151" t="s">
        <v>436</v>
      </c>
      <c r="C151">
        <v>28.728868064516099</v>
      </c>
      <c r="D151">
        <v>76.021102258064502</v>
      </c>
      <c r="E151">
        <f t="shared" si="4"/>
        <v>1328.2519290368061</v>
      </c>
      <c r="F151" s="34">
        <f t="shared" si="5"/>
        <v>304.54956253863497</v>
      </c>
      <c r="G151" t="str" cm="1">
        <f t="array" ref="G151">IFERROR(
  _xlfn.IFS(F151="Current City","No Direction",
    OR(F151&gt;=337.5,F151&lt;22.5),"N",
    F151&lt;67.5,"NE",
    F151&lt;112.5,"E",
    F151&lt;157.5,"SE",
    F151&lt;202.5,"S",
    F151&lt;247.5,"SW",
    F151&lt;292.5,"W",
    F151&lt;337.5,"NW"
  ), "No Direction"
)</f>
        <v>NW</v>
      </c>
    </row>
    <row r="152" spans="1:7" x14ac:dyDescent="0.2">
      <c r="A152" t="s">
        <v>432</v>
      </c>
      <c r="B152" t="s">
        <v>439</v>
      </c>
      <c r="C152">
        <v>28.148731097560901</v>
      </c>
      <c r="D152">
        <v>77.327185365853595</v>
      </c>
      <c r="E152">
        <f t="shared" si="4"/>
        <v>1185.4317998180049</v>
      </c>
      <c r="F152" s="34">
        <f t="shared" si="5"/>
        <v>304.93876624693638</v>
      </c>
      <c r="G152" t="str" cm="1">
        <f t="array" ref="G152">IFERROR(
  _xlfn.IFS(F152="Current City","No Direction",
    OR(F152&gt;=337.5,F152&lt;22.5),"N",
    F152&lt;67.5,"NE",
    F152&lt;112.5,"E",
    F152&lt;157.5,"SE",
    F152&lt;202.5,"S",
    F152&lt;247.5,"SW",
    F152&lt;292.5,"W",
    F152&lt;337.5,"NW"
  ), "No Direction"
)</f>
        <v>NW</v>
      </c>
    </row>
    <row r="153" spans="1:7" x14ac:dyDescent="0.2">
      <c r="A153" t="s">
        <v>432</v>
      </c>
      <c r="B153" t="s">
        <v>442</v>
      </c>
      <c r="C153">
        <v>29.572983185840702</v>
      </c>
      <c r="D153">
        <v>75.546087168141497</v>
      </c>
      <c r="E153">
        <f t="shared" si="4"/>
        <v>1415.9089048980934</v>
      </c>
      <c r="F153" s="34">
        <f t="shared" si="5"/>
        <v>306.9515153646181</v>
      </c>
      <c r="G153" t="str" cm="1">
        <f t="array" ref="G153">IFERROR(
  _xlfn.IFS(F153="Current City","No Direction",
    OR(F153&gt;=337.5,F153&lt;22.5),"N",
    F153&lt;67.5,"NE",
    F153&lt;112.5,"E",
    F153&lt;157.5,"SE",
    F153&lt;202.5,"S",
    F153&lt;247.5,"SW",
    F153&lt;292.5,"W",
    F153&lt;337.5,"NW"
  ), "No Direction"
)</f>
        <v>NW</v>
      </c>
    </row>
    <row r="154" spans="1:7" x14ac:dyDescent="0.2">
      <c r="A154" t="s">
        <v>432</v>
      </c>
      <c r="B154" t="s">
        <v>445</v>
      </c>
      <c r="C154">
        <v>28.043894789579099</v>
      </c>
      <c r="D154">
        <v>77.019351302605202</v>
      </c>
      <c r="E154">
        <f t="shared" si="4"/>
        <v>1205.7413053962423</v>
      </c>
      <c r="F154" s="34">
        <f t="shared" si="5"/>
        <v>303.72377203505016</v>
      </c>
      <c r="G154" t="str" cm="1">
        <f t="array" ref="G154">IFERROR(
  _xlfn.IFS(F154="Current City","No Direction",
    OR(F154&gt;=337.5,F154&lt;22.5),"N",
    F154&lt;67.5,"NE",
    F154&lt;112.5,"E",
    F154&lt;157.5,"SE",
    F154&lt;202.5,"S",
    F154&lt;247.5,"SW",
    F154&lt;292.5,"W",
    F154&lt;337.5,"NW"
  ), "No Direction"
)</f>
        <v>NW</v>
      </c>
    </row>
    <row r="155" spans="1:7" x14ac:dyDescent="0.2">
      <c r="A155" t="s">
        <v>432</v>
      </c>
      <c r="B155" t="s">
        <v>448</v>
      </c>
      <c r="C155">
        <v>29.236287311178199</v>
      </c>
      <c r="D155">
        <v>75.843246827794502</v>
      </c>
      <c r="E155">
        <f t="shared" si="4"/>
        <v>1371.7895601453415</v>
      </c>
      <c r="F155" s="34">
        <f t="shared" si="5"/>
        <v>306.25341085149307</v>
      </c>
      <c r="G155" t="str" cm="1">
        <f t="array" ref="G155">IFERROR(
  _xlfn.IFS(F155="Current City","No Direction",
    OR(F155&gt;=337.5,F155&lt;22.5),"N",
    F155&lt;67.5,"NE",
    F155&lt;112.5,"E",
    F155&lt;157.5,"SE",
    F155&lt;202.5,"S",
    F155&lt;247.5,"SW",
    F155&lt;292.5,"W",
    F155&lt;337.5,"NW"
  ), "No Direction"
)</f>
        <v>NW</v>
      </c>
    </row>
    <row r="156" spans="1:7" x14ac:dyDescent="0.2">
      <c r="A156" t="s">
        <v>432</v>
      </c>
      <c r="B156" t="s">
        <v>451</v>
      </c>
      <c r="C156">
        <v>28.596518681318599</v>
      </c>
      <c r="D156">
        <v>76.611371428571402</v>
      </c>
      <c r="E156">
        <f t="shared" si="4"/>
        <v>1271.0702847994201</v>
      </c>
      <c r="F156" s="34">
        <f t="shared" si="5"/>
        <v>305.27056576737226</v>
      </c>
      <c r="G156" t="str" cm="1">
        <f t="array" ref="G156">IFERROR(
  _xlfn.IFS(F156="Current City","No Direction",
    OR(F156&gt;=337.5,F156&lt;22.5),"N",
    F156&lt;67.5,"NE",
    F156&lt;112.5,"E",
    F156&lt;157.5,"SE",
    F156&lt;202.5,"S",
    F156&lt;247.5,"SW",
    F156&lt;292.5,"W",
    F156&lt;337.5,"NW"
  ), "No Direction"
)</f>
        <v>NW</v>
      </c>
    </row>
    <row r="157" spans="1:7" x14ac:dyDescent="0.2">
      <c r="A157" t="s">
        <v>432</v>
      </c>
      <c r="B157" t="s">
        <v>454</v>
      </c>
      <c r="C157">
        <v>29.451498219584501</v>
      </c>
      <c r="D157">
        <v>76.295985756676501</v>
      </c>
      <c r="E157">
        <f t="shared" si="4"/>
        <v>1347.4754590543998</v>
      </c>
      <c r="F157" s="34">
        <f t="shared" si="5"/>
        <v>308.10795142895591</v>
      </c>
      <c r="G157" t="str" cm="1">
        <f t="array" ref="G157">IFERROR(
  _xlfn.IFS(F157="Current City","No Direction",
    OR(F157&gt;=337.5,F157&lt;22.5),"N",
    F157&lt;67.5,"NE",
    F157&lt;112.5,"E",
    F157&lt;157.5,"SE",
    F157&lt;202.5,"S",
    F157&lt;247.5,"SW",
    F157&lt;292.5,"W",
    F157&lt;337.5,"NW"
  ), "No Direction"
)</f>
        <v>NW</v>
      </c>
    </row>
    <row r="158" spans="1:7" x14ac:dyDescent="0.2">
      <c r="A158" t="s">
        <v>432</v>
      </c>
      <c r="B158" t="s">
        <v>457</v>
      </c>
      <c r="C158">
        <v>29.960685390946399</v>
      </c>
      <c r="D158">
        <v>76.376989300411495</v>
      </c>
      <c r="E158">
        <f t="shared" si="4"/>
        <v>1373.0043966291221</v>
      </c>
      <c r="F158" s="34">
        <f t="shared" si="5"/>
        <v>310.27868839790222</v>
      </c>
      <c r="G158" t="str" cm="1">
        <f t="array" ref="G158">IFERROR(
  _xlfn.IFS(F158="Current City","No Direction",
    OR(F158&gt;=337.5,F158&lt;22.5),"N",
    F158&lt;67.5,"NE",
    F158&lt;112.5,"E",
    F158&lt;157.5,"SE",
    F158&lt;202.5,"S",
    F158&lt;247.5,"SW",
    F158&lt;292.5,"W",
    F158&lt;337.5,"NW"
  ), "No Direction"
)</f>
        <v>NW</v>
      </c>
    </row>
    <row r="159" spans="1:7" x14ac:dyDescent="0.2">
      <c r="A159" t="s">
        <v>432</v>
      </c>
      <c r="B159" t="s">
        <v>460</v>
      </c>
      <c r="C159">
        <v>29.703200647249201</v>
      </c>
      <c r="D159">
        <v>76.874880258899694</v>
      </c>
      <c r="E159">
        <f t="shared" si="4"/>
        <v>1317.2949890222969</v>
      </c>
      <c r="F159" s="34">
        <f t="shared" si="5"/>
        <v>310.4834077111496</v>
      </c>
      <c r="G159" t="str" cm="1">
        <f t="array" ref="G159">IFERROR(
  _xlfn.IFS(F159="Current City","No Direction",
    OR(F159&gt;=337.5,F159&lt;22.5),"N",
    F159&lt;67.5,"NE",
    F159&lt;112.5,"E",
    F159&lt;157.5,"SE",
    F159&lt;202.5,"S",
    F159&lt;247.5,"SW",
    F159&lt;292.5,"W",
    F159&lt;337.5,"NW"
  ), "No Direction"
)</f>
        <v>NW</v>
      </c>
    </row>
    <row r="160" spans="1:7" x14ac:dyDescent="0.2">
      <c r="A160" t="s">
        <v>432</v>
      </c>
      <c r="B160" t="s">
        <v>463</v>
      </c>
      <c r="C160">
        <v>30.0565265984654</v>
      </c>
      <c r="D160">
        <v>76.787746803068998</v>
      </c>
      <c r="E160">
        <f t="shared" si="4"/>
        <v>1347.4011519014985</v>
      </c>
      <c r="F160" s="34">
        <f t="shared" si="5"/>
        <v>311.63592571626646</v>
      </c>
      <c r="G160" t="str" cm="1">
        <f t="array" ref="G160">IFERROR(
  _xlfn.IFS(F160="Current City","No Direction",
    OR(F160&gt;=337.5,F160&lt;22.5),"N",
    F160&lt;67.5,"NE",
    F160&lt;112.5,"E",
    F160&lt;157.5,"SE",
    F160&lt;202.5,"S",
    F160&lt;247.5,"SW",
    F160&lt;292.5,"W",
    F160&lt;337.5,"NW"
  ), "No Direction"
)</f>
        <v>NW</v>
      </c>
    </row>
    <row r="161" spans="1:7" x14ac:dyDescent="0.2">
      <c r="A161" t="s">
        <v>432</v>
      </c>
      <c r="B161" t="s">
        <v>466</v>
      </c>
      <c r="C161">
        <v>28.135216145833301</v>
      </c>
      <c r="D161">
        <v>76.140180729166502</v>
      </c>
      <c r="E161">
        <f t="shared" si="4"/>
        <v>1286.4282772483155</v>
      </c>
      <c r="F161" s="34">
        <f t="shared" si="5"/>
        <v>302.23724656508762</v>
      </c>
      <c r="G161" t="str" cm="1">
        <f t="array" ref="G161">IFERROR(
  _xlfn.IFS(F161="Current City","No Direction",
    OR(F161&gt;=337.5,F161&lt;22.5),"N",
    F161&lt;67.5,"NE",
    F161&lt;112.5,"E",
    F161&lt;157.5,"SE",
    F161&lt;202.5,"S",
    F161&lt;247.5,"SW",
    F161&lt;292.5,"W",
    F161&lt;337.5,"NW"
  ), "No Direction"
)</f>
        <v>NW</v>
      </c>
    </row>
    <row r="162" spans="1:7" x14ac:dyDescent="0.2">
      <c r="A162" t="s">
        <v>432</v>
      </c>
      <c r="B162" t="s">
        <v>468</v>
      </c>
      <c r="C162">
        <v>30.700897142857102</v>
      </c>
      <c r="D162">
        <v>76.971732380952304</v>
      </c>
      <c r="E162">
        <f t="shared" si="4"/>
        <v>1378.1300468997158</v>
      </c>
      <c r="F162" s="34">
        <f t="shared" si="5"/>
        <v>314.47871895618914</v>
      </c>
      <c r="G162" t="str" cm="1">
        <f t="array" ref="G162">IFERROR(
  _xlfn.IFS(F162="Current City","No Direction",
    OR(F162&gt;=337.5,F162&lt;22.5),"N",
    F162&lt;67.5,"NE",
    F162&lt;112.5,"E",
    F162&lt;157.5,"SE",
    F162&lt;202.5,"S",
    F162&lt;247.5,"SW",
    F162&lt;292.5,"W",
    F162&lt;337.5,"NW"
  ), "No Direction"
)</f>
        <v>NW</v>
      </c>
    </row>
    <row r="163" spans="1:7" x14ac:dyDescent="0.2">
      <c r="A163" t="s">
        <v>432</v>
      </c>
      <c r="B163" t="s">
        <v>471</v>
      </c>
      <c r="C163">
        <v>29.343521341463401</v>
      </c>
      <c r="D163">
        <v>76.928959146341398</v>
      </c>
      <c r="E163">
        <f t="shared" si="4"/>
        <v>1289.9163300798837</v>
      </c>
      <c r="F163" s="34">
        <f t="shared" si="5"/>
        <v>309.17232522014274</v>
      </c>
      <c r="G163" t="str" cm="1">
        <f t="array" ref="G163">IFERROR(
  _xlfn.IFS(F163="Current City","No Direction",
    OR(F163&gt;=337.5,F163&lt;22.5),"N",
    F163&lt;67.5,"NE",
    F163&lt;112.5,"E",
    F163&lt;157.5,"SE",
    F163&lt;202.5,"S",
    F163&lt;247.5,"SW",
    F163&lt;292.5,"W",
    F163&lt;337.5,"NW"
  ), "No Direction"
)</f>
        <v>NW</v>
      </c>
    </row>
    <row r="164" spans="1:7" x14ac:dyDescent="0.2">
      <c r="A164" t="s">
        <v>432</v>
      </c>
      <c r="B164" t="s">
        <v>474</v>
      </c>
      <c r="C164">
        <v>28.191647148288901</v>
      </c>
      <c r="D164">
        <v>76.559560076045599</v>
      </c>
      <c r="E164">
        <f t="shared" si="4"/>
        <v>1253.135026623404</v>
      </c>
      <c r="F164" s="34">
        <f t="shared" si="5"/>
        <v>303.36938522396161</v>
      </c>
      <c r="G164" t="str" cm="1">
        <f t="array" ref="G164">IFERROR(
  _xlfn.IFS(F164="Current City","No Direction",
    OR(F164&gt;=337.5,F164&lt;22.5),"N",
    F164&lt;67.5,"NE",
    F164&lt;112.5,"E",
    F164&lt;157.5,"SE",
    F164&lt;202.5,"S",
    F164&lt;247.5,"SW",
    F164&lt;292.5,"W",
    F164&lt;337.5,"NW"
  ), "No Direction"
)</f>
        <v>NW</v>
      </c>
    </row>
    <row r="165" spans="1:7" x14ac:dyDescent="0.2">
      <c r="A165" t="s">
        <v>432</v>
      </c>
      <c r="B165" t="s">
        <v>477</v>
      </c>
      <c r="C165">
        <v>28.892517647058799</v>
      </c>
      <c r="D165">
        <v>76.531232352941103</v>
      </c>
      <c r="E165">
        <f t="shared" si="4"/>
        <v>1294.8031503836728</v>
      </c>
      <c r="F165" s="34">
        <f t="shared" si="5"/>
        <v>306.3545064241207</v>
      </c>
      <c r="G165" t="str" cm="1">
        <f t="array" ref="G165">IFERROR(
  _xlfn.IFS(F165="Current City","No Direction",
    OR(F165&gt;=337.5,F165&lt;22.5),"N",
    F165&lt;67.5,"NE",
    F165&lt;112.5,"E",
    F165&lt;157.5,"SE",
    F165&lt;202.5,"S",
    F165&lt;247.5,"SW",
    F165&lt;292.5,"W",
    F165&lt;337.5,"NW"
  ), "No Direction"
)</f>
        <v>NW</v>
      </c>
    </row>
    <row r="166" spans="1:7" x14ac:dyDescent="0.2">
      <c r="A166" t="s">
        <v>432</v>
      </c>
      <c r="B166" t="s">
        <v>480</v>
      </c>
      <c r="C166">
        <v>29.635834463276801</v>
      </c>
      <c r="D166">
        <v>74.909704802259796</v>
      </c>
      <c r="E166">
        <f t="shared" si="4"/>
        <v>1472.1801636642683</v>
      </c>
      <c r="F166" s="34">
        <f t="shared" si="5"/>
        <v>305.91722391030129</v>
      </c>
      <c r="G166" t="str" cm="1">
        <f t="array" ref="G166">IFERROR(
  _xlfn.IFS(F166="Current City","No Direction",
    OR(F166&gt;=337.5,F166&lt;22.5),"N",
    F166&lt;67.5,"NE",
    F166&lt;112.5,"E",
    F166&lt;157.5,"SE",
    F166&lt;202.5,"S",
    F166&lt;247.5,"SW",
    F166&lt;292.5,"W",
    F166&lt;337.5,"NW"
  ), "No Direction"
)</f>
        <v>NW</v>
      </c>
    </row>
    <row r="167" spans="1:7" x14ac:dyDescent="0.2">
      <c r="A167" t="s">
        <v>432</v>
      </c>
      <c r="B167" t="s">
        <v>483</v>
      </c>
      <c r="C167">
        <v>29.058057079646002</v>
      </c>
      <c r="D167">
        <v>76.855870796460096</v>
      </c>
      <c r="E167">
        <f t="shared" si="4"/>
        <v>1278.0585462183012</v>
      </c>
      <c r="F167" s="34">
        <f t="shared" si="5"/>
        <v>307.81159287520421</v>
      </c>
      <c r="G167" t="str" cm="1">
        <f t="array" ref="G167">IFERROR(
  _xlfn.IFS(F167="Current City","No Direction",
    OR(F167&gt;=337.5,F167&lt;22.5),"N",
    F167&lt;67.5,"NE",
    F167&lt;112.5,"E",
    F167&lt;157.5,"SE",
    F167&lt;202.5,"S",
    F167&lt;247.5,"SW",
    F167&lt;292.5,"W",
    F167&lt;337.5,"NW"
  ), "No Direction"
)</f>
        <v>NW</v>
      </c>
    </row>
    <row r="168" spans="1:7" x14ac:dyDescent="0.2">
      <c r="A168" t="s">
        <v>432</v>
      </c>
      <c r="B168" t="s">
        <v>486</v>
      </c>
      <c r="C168">
        <v>30.264661825726101</v>
      </c>
      <c r="D168">
        <v>77.316528215767605</v>
      </c>
      <c r="E168">
        <f t="shared" si="4"/>
        <v>1321.7453481967334</v>
      </c>
      <c r="F168" s="34">
        <f t="shared" si="5"/>
        <v>313.78196764678574</v>
      </c>
      <c r="G168" t="str" cm="1">
        <f t="array" ref="G168">IFERROR(
  _xlfn.IFS(F168="Current City","No Direction",
    OR(F168&gt;=337.5,F168&lt;22.5),"N",
    F168&lt;67.5,"NE",
    F168&lt;112.5,"E",
    F168&lt;157.5,"SE",
    F168&lt;202.5,"S",
    F168&lt;247.5,"SW",
    F168&lt;292.5,"W",
    F168&lt;337.5,"NW"
  ), "No Direction"
)</f>
        <v>NW</v>
      </c>
    </row>
    <row r="169" spans="1:7" x14ac:dyDescent="0.2">
      <c r="A169" t="s">
        <v>489</v>
      </c>
      <c r="B169" t="s">
        <v>299</v>
      </c>
      <c r="C169">
        <v>31.378042290748901</v>
      </c>
      <c r="D169">
        <v>76.653160792951496</v>
      </c>
      <c r="E169">
        <f t="shared" si="4"/>
        <v>1450.1418118583736</v>
      </c>
      <c r="F169" s="34">
        <f t="shared" si="5"/>
        <v>316.01039729431568</v>
      </c>
      <c r="G169" t="str" cm="1">
        <f t="array" ref="G169">IFERROR(
  _xlfn.IFS(F169="Current City","No Direction",
    OR(F169&gt;=337.5,F169&lt;22.5),"N",
    F169&lt;67.5,"NE",
    F169&lt;112.5,"E",
    F169&lt;157.5,"SE",
    F169&lt;202.5,"S",
    F169&lt;247.5,"SW",
    F169&lt;292.5,"W",
    F169&lt;337.5,"NW"
  ), "No Direction"
)</f>
        <v>NW</v>
      </c>
    </row>
    <row r="170" spans="1:7" x14ac:dyDescent="0.2">
      <c r="A170" t="s">
        <v>489</v>
      </c>
      <c r="B170" t="s">
        <v>491</v>
      </c>
      <c r="C170">
        <v>32.667418145956603</v>
      </c>
      <c r="D170">
        <v>76.393540631163603</v>
      </c>
      <c r="E170">
        <f t="shared" si="4"/>
        <v>1565.5439940155986</v>
      </c>
      <c r="F170" s="34">
        <f t="shared" si="5"/>
        <v>319.40878520982363</v>
      </c>
      <c r="G170" t="str" cm="1">
        <f t="array" ref="G170">IFERROR(
  _xlfn.IFS(F170="Current City","No Direction",
    OR(F170&gt;=337.5,F170&lt;22.5),"N",
    F170&lt;67.5,"NE",
    F170&lt;112.5,"E",
    F170&lt;157.5,"SE",
    F170&lt;202.5,"S",
    F170&lt;247.5,"SW",
    F170&lt;292.5,"W",
    F170&lt;337.5,"NW"
  ), "No Direction"
)</f>
        <v>NW</v>
      </c>
    </row>
    <row r="171" spans="1:7" x14ac:dyDescent="0.2">
      <c r="A171" t="s">
        <v>489</v>
      </c>
      <c r="B171" t="s">
        <v>494</v>
      </c>
      <c r="C171">
        <v>31.676684810126499</v>
      </c>
      <c r="D171">
        <v>76.497670886075895</v>
      </c>
      <c r="E171">
        <f t="shared" si="4"/>
        <v>1483.1718994745995</v>
      </c>
      <c r="F171" s="34">
        <f t="shared" si="5"/>
        <v>316.60679307582893</v>
      </c>
      <c r="G171" t="str" cm="1">
        <f t="array" ref="G171">IFERROR(
  _xlfn.IFS(F171="Current City","No Direction",
    OR(F171&gt;=337.5,F171&lt;22.5),"N",
    F171&lt;67.5,"NE",
    F171&lt;112.5,"E",
    F171&lt;157.5,"SE",
    F171&lt;202.5,"S",
    F171&lt;247.5,"SW",
    F171&lt;292.5,"W",
    F171&lt;337.5,"NW"
  ), "No Direction"
)</f>
        <v>NW</v>
      </c>
    </row>
    <row r="172" spans="1:7" x14ac:dyDescent="0.2">
      <c r="A172" t="s">
        <v>489</v>
      </c>
      <c r="B172" t="s">
        <v>497</v>
      </c>
      <c r="C172">
        <v>32.140936032388602</v>
      </c>
      <c r="D172">
        <v>76.412059109311699</v>
      </c>
      <c r="E172">
        <f t="shared" si="4"/>
        <v>1523.8901484636581</v>
      </c>
      <c r="F172" s="34">
        <f t="shared" si="5"/>
        <v>317.86639643800493</v>
      </c>
      <c r="G172" t="str" cm="1">
        <f t="array" ref="G172">IFERROR(
  _xlfn.IFS(F172="Current City","No Direction",
    OR(F172&gt;=337.5,F172&lt;22.5),"N",
    F172&lt;67.5,"NE",
    F172&lt;112.5,"E",
    F172&lt;157.5,"SE",
    F172&lt;202.5,"S",
    F172&lt;247.5,"SW",
    F172&lt;292.5,"W",
    F172&lt;337.5,"NW"
  ), "No Direction"
)</f>
        <v>NW</v>
      </c>
    </row>
    <row r="173" spans="1:7" x14ac:dyDescent="0.2">
      <c r="A173" t="s">
        <v>489</v>
      </c>
      <c r="B173" t="s">
        <v>500</v>
      </c>
      <c r="C173">
        <v>31.606671840659299</v>
      </c>
      <c r="D173">
        <v>78.516137362637394</v>
      </c>
      <c r="E173">
        <f t="shared" si="4"/>
        <v>1341.9806047646402</v>
      </c>
      <c r="F173" s="34">
        <f t="shared" si="5"/>
        <v>321.88973237298137</v>
      </c>
      <c r="G173" t="str" cm="1">
        <f t="array" ref="G173">IFERROR(
  _xlfn.IFS(F173="Current City","No Direction",
    OR(F173&gt;=337.5,F173&lt;22.5),"N",
    F173&lt;67.5,"NE",
    F173&lt;112.5,"E",
    F173&lt;157.5,"SE",
    F173&lt;202.5,"S",
    F173&lt;247.5,"SW",
    F173&lt;292.5,"W",
    F173&lt;337.5,"NW"
  ), "No Direction"
)</f>
        <v>NW</v>
      </c>
    </row>
    <row r="174" spans="1:7" x14ac:dyDescent="0.2">
      <c r="A174" t="s">
        <v>489</v>
      </c>
      <c r="B174" t="s">
        <v>503</v>
      </c>
      <c r="C174">
        <v>31.9091192207792</v>
      </c>
      <c r="D174">
        <v>77.409226493506395</v>
      </c>
      <c r="E174">
        <f t="shared" si="4"/>
        <v>1438.3819618996308</v>
      </c>
      <c r="F174" s="34">
        <f t="shared" si="5"/>
        <v>319.69384493109874</v>
      </c>
      <c r="G174" t="str" cm="1">
        <f t="array" ref="G174">IFERROR(
  _xlfn.IFS(F174="Current City","No Direction",
    OR(F174&gt;=337.5,F174&lt;22.5),"N",
    F174&lt;67.5,"NE",
    F174&lt;112.5,"E",
    F174&lt;157.5,"SE",
    F174&lt;202.5,"S",
    F174&lt;247.5,"SW",
    F174&lt;292.5,"W",
    F174&lt;337.5,"NW"
  ), "No Direction"
)</f>
        <v>NW</v>
      </c>
    </row>
    <row r="175" spans="1:7" x14ac:dyDescent="0.2">
      <c r="A175" t="s">
        <v>489</v>
      </c>
      <c r="B175" t="s">
        <v>506</v>
      </c>
      <c r="C175">
        <v>32.5171703065133</v>
      </c>
      <c r="D175">
        <v>77.624709770114904</v>
      </c>
      <c r="E175">
        <f t="shared" si="4"/>
        <v>1473.407276297698</v>
      </c>
      <c r="F175" s="34">
        <f t="shared" si="5"/>
        <v>322.12706044214019</v>
      </c>
      <c r="G175" t="str" cm="1">
        <f t="array" ref="G175">IFERROR(
  _xlfn.IFS(F175="Current City","No Direction",
    OR(F175&gt;=337.5,F175&lt;22.5),"N",
    F175&lt;67.5,"NE",
    F175&lt;112.5,"E",
    F175&lt;157.5,"SE",
    F175&lt;202.5,"S",
    F175&lt;247.5,"SW",
    F175&lt;292.5,"W",
    F175&lt;337.5,"NW"
  ), "No Direction"
)</f>
        <v>NW</v>
      </c>
    </row>
    <row r="176" spans="1:7" x14ac:dyDescent="0.2">
      <c r="A176" t="s">
        <v>489</v>
      </c>
      <c r="B176" t="s">
        <v>509</v>
      </c>
      <c r="C176">
        <v>31.635805940594</v>
      </c>
      <c r="D176">
        <v>76.965569306930604</v>
      </c>
      <c r="E176">
        <f t="shared" si="4"/>
        <v>1447.3714807335218</v>
      </c>
      <c r="F176" s="34">
        <f t="shared" si="5"/>
        <v>317.65084626482661</v>
      </c>
      <c r="G176" t="str" cm="1">
        <f t="array" ref="G176">IFERROR(
  _xlfn.IFS(F176="Current City","No Direction",
    OR(F176&gt;=337.5,F176&lt;22.5),"N",
    F176&lt;67.5,"NE",
    F176&lt;112.5,"E",
    F176&lt;157.5,"SE",
    F176&lt;202.5,"S",
    F176&lt;247.5,"SW",
    F176&lt;292.5,"W",
    F176&lt;337.5,"NW"
  ), "No Direction"
)</f>
        <v>NW</v>
      </c>
    </row>
    <row r="177" spans="1:7" x14ac:dyDescent="0.2">
      <c r="A177" t="s">
        <v>489</v>
      </c>
      <c r="B177" t="s">
        <v>512</v>
      </c>
      <c r="C177">
        <v>31.1557254518072</v>
      </c>
      <c r="D177">
        <v>77.625730421686598</v>
      </c>
      <c r="E177">
        <f t="shared" si="4"/>
        <v>1365.153720809094</v>
      </c>
      <c r="F177" s="34">
        <f t="shared" si="5"/>
        <v>317.81537455154819</v>
      </c>
      <c r="G177" t="str" cm="1">
        <f t="array" ref="G177">IFERROR(
  _xlfn.IFS(F177="Current City","No Direction",
    OR(F177&gt;=337.5,F177&lt;22.5),"N",
    F177&lt;67.5,"NE",
    F177&lt;112.5,"E",
    F177&lt;157.5,"SE",
    F177&lt;202.5,"S",
    F177&lt;247.5,"SW",
    F177&lt;292.5,"W",
    F177&lt;337.5,"NW"
  ), "No Direction"
)</f>
        <v>NW</v>
      </c>
    </row>
    <row r="178" spans="1:7" x14ac:dyDescent="0.2">
      <c r="A178" t="s">
        <v>489</v>
      </c>
      <c r="B178" t="s">
        <v>515</v>
      </c>
      <c r="C178">
        <v>30.682764453961401</v>
      </c>
      <c r="D178">
        <v>77.431846895074898</v>
      </c>
      <c r="E178">
        <f t="shared" si="4"/>
        <v>1343.3893573062614</v>
      </c>
      <c r="F178" s="34">
        <f t="shared" si="5"/>
        <v>315.62734028976001</v>
      </c>
      <c r="G178" t="str" cm="1">
        <f t="array" ref="G178">IFERROR(
  _xlfn.IFS(F178="Current City","No Direction",
    OR(F178&gt;=337.5,F178&lt;22.5),"N",
    F178&lt;67.5,"NE",
    F178&lt;112.5,"E",
    F178&lt;157.5,"SE",
    F178&lt;202.5,"S",
    F178&lt;247.5,"SW",
    F178&lt;292.5,"W",
    F178&lt;337.5,"NW"
  ), "No Direction"
)</f>
        <v>NW</v>
      </c>
    </row>
    <row r="179" spans="1:7" x14ac:dyDescent="0.2">
      <c r="A179" t="s">
        <v>489</v>
      </c>
      <c r="B179" t="s">
        <v>518</v>
      </c>
      <c r="C179">
        <v>31.038643119265998</v>
      </c>
      <c r="D179">
        <v>76.944421406727798</v>
      </c>
      <c r="E179">
        <f t="shared" si="4"/>
        <v>1404.4628614411799</v>
      </c>
      <c r="F179" s="34">
        <f t="shared" si="5"/>
        <v>315.5955728148935</v>
      </c>
      <c r="G179" t="str" cm="1">
        <f t="array" ref="G179">IFERROR(
  _xlfn.IFS(F179="Current City","No Direction",
    OR(F179&gt;=337.5,F179&lt;22.5),"N",
    F179&lt;67.5,"NE",
    F179&lt;112.5,"E",
    F179&lt;157.5,"SE",
    F179&lt;202.5,"S",
    F179&lt;247.5,"SW",
    F179&lt;292.5,"W",
    F179&lt;337.5,"NW"
  ), "No Direction"
)</f>
        <v>NW</v>
      </c>
    </row>
    <row r="180" spans="1:7" x14ac:dyDescent="0.2">
      <c r="A180" t="s">
        <v>489</v>
      </c>
      <c r="B180" t="s">
        <v>521</v>
      </c>
      <c r="C180">
        <v>31.583303883495098</v>
      </c>
      <c r="D180">
        <v>76.183539320388306</v>
      </c>
      <c r="E180">
        <f t="shared" si="4"/>
        <v>1498.756131400457</v>
      </c>
      <c r="F180" s="34">
        <f t="shared" si="5"/>
        <v>315.5450517627151</v>
      </c>
      <c r="G180" t="str" cm="1">
        <f t="array" ref="G180">IFERROR(
  _xlfn.IFS(F180="Current City","No Direction",
    OR(F180&gt;=337.5,F180&lt;22.5),"N",
    F180&lt;67.5,"NE",
    F180&lt;112.5,"E",
    F180&lt;157.5,"SE",
    F180&lt;202.5,"S",
    F180&lt;247.5,"SW",
    F180&lt;292.5,"W",
    F180&lt;337.5,"NW"
  ), "No Direction"
)</f>
        <v>NW</v>
      </c>
    </row>
    <row r="181" spans="1:7" x14ac:dyDescent="0.2">
      <c r="A181" t="s">
        <v>524</v>
      </c>
      <c r="B181" t="s">
        <v>525</v>
      </c>
      <c r="C181">
        <v>33.760272727272699</v>
      </c>
      <c r="D181">
        <v>75.303906060605996</v>
      </c>
      <c r="E181">
        <f t="shared" si="4"/>
        <v>1722.9760742284568</v>
      </c>
      <c r="F181" s="34">
        <f t="shared" si="5"/>
        <v>319.97414221291893</v>
      </c>
      <c r="G181" t="str" cm="1">
        <f t="array" ref="G181">IFERROR(
  _xlfn.IFS(F181="Current City","No Direction",
    OR(F181&gt;=337.5,F181&lt;22.5),"N",
    F181&lt;67.5,"NE",
    F181&lt;112.5,"E",
    F181&lt;157.5,"SE",
    F181&lt;202.5,"S",
    F181&lt;247.5,"SW",
    F181&lt;292.5,"W",
    F181&lt;337.5,"NW"
  ), "No Direction"
)</f>
        <v>NW</v>
      </c>
    </row>
    <row r="182" spans="1:7" x14ac:dyDescent="0.2">
      <c r="A182" t="s">
        <v>524</v>
      </c>
      <c r="B182" t="s">
        <v>528</v>
      </c>
      <c r="C182">
        <v>33.932581132075399</v>
      </c>
      <c r="D182">
        <v>74.797981132075407</v>
      </c>
      <c r="E182">
        <f t="shared" si="4"/>
        <v>1769.933892109728</v>
      </c>
      <c r="F182" s="34">
        <f t="shared" si="5"/>
        <v>319.35696489255429</v>
      </c>
      <c r="G182" t="str" cm="1">
        <f t="array" ref="G182">IFERROR(
  _xlfn.IFS(F182="Current City","No Direction",
    OR(F182&gt;=337.5,F182&lt;22.5),"N",
    F182&lt;67.5,"NE",
    F182&lt;112.5,"E",
    F182&lt;157.5,"SE",
    F182&lt;202.5,"S",
    F182&lt;247.5,"SW",
    F182&lt;292.5,"W",
    F182&lt;337.5,"NW"
  ), "No Direction"
)</f>
        <v>NW</v>
      </c>
    </row>
    <row r="183" spans="1:7" x14ac:dyDescent="0.2">
      <c r="A183" t="s">
        <v>524</v>
      </c>
      <c r="B183" t="s">
        <v>531</v>
      </c>
      <c r="C183">
        <v>34.381253757225402</v>
      </c>
      <c r="D183">
        <v>74.763599421965296</v>
      </c>
      <c r="E183">
        <f t="shared" si="4"/>
        <v>1806.8446698749708</v>
      </c>
      <c r="F183" s="34">
        <f t="shared" si="5"/>
        <v>320.45146725992896</v>
      </c>
      <c r="G183" t="str" cm="1">
        <f t="array" ref="G183">IFERROR(
  _xlfn.IFS(F183="Current City","No Direction",
    OR(F183&gt;=337.5,F183&lt;22.5),"N",
    F183&lt;67.5,"NE",
    F183&lt;112.5,"E",
    F183&lt;157.5,"SE",
    F183&lt;202.5,"S",
    F183&lt;247.5,"SW",
    F183&lt;292.5,"W",
    F183&lt;337.5,"NW"
  ), "No Direction"
)</f>
        <v>NW</v>
      </c>
    </row>
    <row r="184" spans="1:7" x14ac:dyDescent="0.2">
      <c r="A184" t="s">
        <v>524</v>
      </c>
      <c r="B184" t="s">
        <v>534</v>
      </c>
      <c r="C184">
        <v>33.359614675767901</v>
      </c>
      <c r="D184">
        <v>76.071637201365107</v>
      </c>
      <c r="E184">
        <f t="shared" si="4"/>
        <v>1641.1193541252003</v>
      </c>
      <c r="F184" s="34">
        <f t="shared" si="5"/>
        <v>320.61423003425267</v>
      </c>
      <c r="G184" t="str" cm="1">
        <f t="array" ref="G184">IFERROR(
  _xlfn.IFS(F184="Current City","No Direction",
    OR(F184&gt;=337.5,F184&lt;22.5),"N",
    F184&lt;67.5,"NE",
    F184&lt;112.5,"E",
    F184&lt;157.5,"SE",
    F184&lt;202.5,"S",
    F184&lt;247.5,"SW",
    F184&lt;292.5,"W",
    F184&lt;337.5,"NW"
  ), "No Direction"
)</f>
        <v>NW</v>
      </c>
    </row>
    <row r="185" spans="1:7" x14ac:dyDescent="0.2">
      <c r="A185" t="s">
        <v>524</v>
      </c>
      <c r="B185" t="s">
        <v>537</v>
      </c>
      <c r="C185">
        <v>32.713199095022603</v>
      </c>
      <c r="D185">
        <v>74.847752036199097</v>
      </c>
      <c r="E185">
        <f t="shared" si="4"/>
        <v>1675.953968131686</v>
      </c>
      <c r="F185" s="34">
        <f t="shared" si="5"/>
        <v>316.06156452879986</v>
      </c>
      <c r="G185" t="str" cm="1">
        <f t="array" ref="G185">IFERROR(
  _xlfn.IFS(F185="Current City","No Direction",
    OR(F185&gt;=337.5,F185&lt;22.5),"N",
    F185&lt;67.5,"NE",
    F185&lt;112.5,"E",
    F185&lt;157.5,"SE",
    F185&lt;202.5,"S",
    F185&lt;247.5,"SW",
    F185&lt;292.5,"W",
    F185&lt;337.5,"NW"
  ), "No Direction"
)</f>
        <v>NW</v>
      </c>
    </row>
    <row r="186" spans="1:7" x14ac:dyDescent="0.2">
      <c r="A186" t="s">
        <v>524</v>
      </c>
      <c r="B186" t="s">
        <v>539</v>
      </c>
      <c r="C186">
        <v>33.565994894894899</v>
      </c>
      <c r="D186">
        <v>76.636753153153094</v>
      </c>
      <c r="E186">
        <f t="shared" si="4"/>
        <v>1621.6237937339295</v>
      </c>
      <c r="F186" s="34">
        <f t="shared" si="5"/>
        <v>322.52473947208335</v>
      </c>
      <c r="G186" t="str" cm="1">
        <f t="array" ref="G186">IFERROR(
  _xlfn.IFS(F186="Current City","No Direction",
    OR(F186&gt;=337.5,F186&lt;22.5),"N",
    F186&lt;67.5,"NE",
    F186&lt;112.5,"E",
    F186&lt;157.5,"SE",
    F186&lt;202.5,"S",
    F186&lt;247.5,"SW",
    F186&lt;292.5,"W",
    F186&lt;337.5,"NW"
  ), "No Direction"
)</f>
        <v>NW</v>
      </c>
    </row>
    <row r="187" spans="1:7" x14ac:dyDescent="0.2">
      <c r="A187" t="s">
        <v>524</v>
      </c>
      <c r="B187" t="s">
        <v>542</v>
      </c>
      <c r="C187">
        <v>32.517816783216702</v>
      </c>
      <c r="D187">
        <v>75.589013986013995</v>
      </c>
      <c r="E187">
        <f t="shared" si="4"/>
        <v>1609.2977030109889</v>
      </c>
      <c r="F187" s="34">
        <f t="shared" si="5"/>
        <v>317.08946054219683</v>
      </c>
      <c r="G187" t="str" cm="1">
        <f t="array" ref="G187">IFERROR(
  _xlfn.IFS(F187="Current City","No Direction",
    OR(F187&gt;=337.5,F187&lt;22.5),"N",
    F187&lt;67.5,"NE",
    F187&lt;112.5,"E",
    F187&lt;157.5,"SE",
    F187&lt;202.5,"S",
    F187&lt;247.5,"SW",
    F187&lt;292.5,"W",
    F187&lt;337.5,"NW"
  ), "No Direction"
)</f>
        <v>NW</v>
      </c>
    </row>
    <row r="188" spans="1:7" x14ac:dyDescent="0.2">
      <c r="A188" t="s">
        <v>524</v>
      </c>
      <c r="B188" t="s">
        <v>545</v>
      </c>
      <c r="C188">
        <v>34.599234736842099</v>
      </c>
      <c r="D188">
        <v>74.215876842105203</v>
      </c>
      <c r="E188">
        <f t="shared" si="4"/>
        <v>1859.7751418737519</v>
      </c>
      <c r="F188" s="34">
        <f t="shared" si="5"/>
        <v>319.89733444904175</v>
      </c>
      <c r="G188" t="str" cm="1">
        <f t="array" ref="G188">IFERROR(
  _xlfn.IFS(F188="Current City","No Direction",
    OR(F188&gt;=337.5,F188&lt;22.5),"N",
    F188&lt;67.5,"NE",
    F188&lt;112.5,"E",
    F188&lt;157.5,"SE",
    F188&lt;202.5,"S",
    F188&lt;247.5,"SW",
    F188&lt;292.5,"W",
    F188&lt;337.5,"NW"
  ), "No Direction"
)</f>
        <v>NW</v>
      </c>
    </row>
    <row r="189" spans="1:7" x14ac:dyDescent="0.2">
      <c r="A189" t="s">
        <v>524</v>
      </c>
      <c r="B189" t="s">
        <v>548</v>
      </c>
      <c r="C189">
        <v>33.585792202970197</v>
      </c>
      <c r="D189">
        <v>78.307259282178194</v>
      </c>
      <c r="E189">
        <f t="shared" si="4"/>
        <v>1524.0336067608966</v>
      </c>
      <c r="F189" s="34">
        <f t="shared" si="5"/>
        <v>326.94876548969256</v>
      </c>
      <c r="G189" t="str" cm="1">
        <f t="array" ref="G189">IFERROR(
  _xlfn.IFS(F189="Current City","No Direction",
    OR(F189&gt;=337.5,F189&lt;22.5),"N",
    F189&lt;67.5,"NE",
    F189&lt;112.5,"E",
    F189&lt;157.5,"SE",
    F189&lt;202.5,"S",
    F189&lt;247.5,"SW",
    F189&lt;292.5,"W",
    F189&lt;337.5,"NW"
  ), "No Direction"
)</f>
        <v>NW</v>
      </c>
    </row>
    <row r="190" spans="1:7" x14ac:dyDescent="0.2">
      <c r="A190" t="s">
        <v>524</v>
      </c>
      <c r="B190" t="s">
        <v>551</v>
      </c>
      <c r="C190">
        <v>33.884144186046498</v>
      </c>
      <c r="D190">
        <v>75.009218604651096</v>
      </c>
      <c r="E190">
        <f t="shared" si="4"/>
        <v>1752.1118292842493</v>
      </c>
      <c r="F190" s="34">
        <f t="shared" si="5"/>
        <v>319.67200377251663</v>
      </c>
      <c r="G190" t="str" cm="1">
        <f t="array" ref="G190">IFERROR(
  _xlfn.IFS(F190="Current City","No Direction",
    OR(F190&gt;=337.5,F190&lt;22.5),"N",
    F190&lt;67.5,"NE",
    F190&lt;112.5,"E",
    F190&lt;157.5,"SE",
    F190&lt;202.5,"S",
    F190&lt;247.5,"SW",
    F190&lt;292.5,"W",
    F190&lt;337.5,"NW"
  ), "No Direction"
)</f>
        <v>NW</v>
      </c>
    </row>
    <row r="191" spans="1:7" x14ac:dyDescent="0.2">
      <c r="A191" t="s">
        <v>524</v>
      </c>
      <c r="B191" t="s">
        <v>554</v>
      </c>
      <c r="C191">
        <v>33.791241290322503</v>
      </c>
      <c r="D191">
        <v>74.295931612903203</v>
      </c>
      <c r="E191">
        <f t="shared" si="4"/>
        <v>1793.3965967419849</v>
      </c>
      <c r="F191" s="34">
        <f t="shared" si="5"/>
        <v>317.95725481897051</v>
      </c>
      <c r="G191" t="str" cm="1">
        <f t="array" ref="G191">IFERROR(
  _xlfn.IFS(F191="Current City","No Direction",
    OR(F191&gt;=337.5,F191&lt;22.5),"N",
    F191&lt;67.5,"NE",
    F191&lt;112.5,"E",
    F191&lt;157.5,"SE",
    F191&lt;202.5,"S",
    F191&lt;247.5,"SW",
    F191&lt;292.5,"W",
    F191&lt;337.5,"NW"
  ), "No Direction"
)</f>
        <v>NW</v>
      </c>
    </row>
    <row r="192" spans="1:7" x14ac:dyDescent="0.2">
      <c r="A192" t="s">
        <v>524</v>
      </c>
      <c r="B192" t="s">
        <v>557</v>
      </c>
      <c r="C192">
        <v>33.272321985815601</v>
      </c>
      <c r="D192">
        <v>74.407768794326202</v>
      </c>
      <c r="E192">
        <f t="shared" si="4"/>
        <v>1747.5397952413382</v>
      </c>
      <c r="F192" s="34">
        <f t="shared" si="5"/>
        <v>316.75978238601351</v>
      </c>
      <c r="G192" t="str" cm="1">
        <f t="array" ref="G192">IFERROR(
  _xlfn.IFS(F192="Current City","No Direction",
    OR(F192&gt;=337.5,F192&lt;22.5),"N",
    F192&lt;67.5,"NE",
    F192&lt;112.5,"E",
    F192&lt;157.5,"SE",
    F192&lt;202.5,"S",
    F192&lt;247.5,"SW",
    F192&lt;292.5,"W",
    F192&lt;337.5,"NW"
  ), "No Direction"
)</f>
        <v>NW</v>
      </c>
    </row>
    <row r="193" spans="1:7" x14ac:dyDescent="0.2">
      <c r="A193" t="s">
        <v>524</v>
      </c>
      <c r="B193" t="s">
        <v>560</v>
      </c>
      <c r="C193">
        <v>34.273128985507199</v>
      </c>
      <c r="D193">
        <v>75.110211594202795</v>
      </c>
      <c r="E193">
        <f t="shared" si="4"/>
        <v>1775.7857187361369</v>
      </c>
      <c r="F193" s="34">
        <f t="shared" si="5"/>
        <v>320.90170283174166</v>
      </c>
      <c r="G193" t="str" cm="1">
        <f t="array" ref="G193">IFERROR(
  _xlfn.IFS(F193="Current City","No Direction",
    OR(F193&gt;=337.5,F193&lt;22.5),"N",
    F193&lt;67.5,"NE",
    F193&lt;112.5,"E",
    F193&lt;157.5,"SE",
    F193&lt;202.5,"S",
    F193&lt;247.5,"SW",
    F193&lt;292.5,"W",
    F193&lt;337.5,"NW"
  ), "No Direction"
)</f>
        <v>NW</v>
      </c>
    </row>
    <row r="194" spans="1:7" x14ac:dyDescent="0.2">
      <c r="A194" t="s">
        <v>524</v>
      </c>
      <c r="B194" t="s">
        <v>563</v>
      </c>
      <c r="C194">
        <v>33.047706707316998</v>
      </c>
      <c r="D194">
        <v>75.152869512195096</v>
      </c>
      <c r="E194">
        <f t="shared" ref="E194:E257" si="6">2*6371*ASIN(SQRT(
    SIN(RADIANS(C194-$M$7)/2)^2 +
    COS(RADIANS($M$7)) * COS(RADIANS(C194)) *
    SIN(RADIANS(D194-$M$8)/2)^2
))</f>
        <v>1678.9827076765368</v>
      </c>
      <c r="F194" s="34">
        <f t="shared" si="5"/>
        <v>317.67723100727801</v>
      </c>
      <c r="G194" t="str" cm="1">
        <f t="array" ref="G194">IFERROR(
  _xlfn.IFS(F194="Current City","No Direction",
    OR(F194&gt;=337.5,F194&lt;22.5),"N",
    F194&lt;67.5,"NE",
    F194&lt;112.5,"E",
    F194&lt;157.5,"SE",
    F194&lt;202.5,"S",
    F194&lt;247.5,"SW",
    F194&lt;292.5,"W",
    F194&lt;337.5,"NW"
  ), "No Direction"
)</f>
        <v>NW</v>
      </c>
    </row>
    <row r="195" spans="1:7" x14ac:dyDescent="0.2">
      <c r="A195" t="s">
        <v>566</v>
      </c>
      <c r="B195" t="s">
        <v>567</v>
      </c>
      <c r="C195">
        <v>23.681496503496501</v>
      </c>
      <c r="D195">
        <v>85.983983741258598</v>
      </c>
      <c r="E195">
        <f t="shared" si="6"/>
        <v>195.05383274650151</v>
      </c>
      <c r="F195" s="34">
        <f t="shared" ref="F195:F258" si="7">IFERROR(MOD(DEGREES(ATAN2(COS(RADIANS($M$7))*SIN(RADIANS(C195))-SIN(RADIANS($M$7))*COS(RADIANS(C195))*COS(RADIANS(D195-$M$8)), SIN(RADIANS(D195-$M$8))*COS(RADIANS(C195))))+360, 360),"Current City")</f>
        <v>319.37648692297921</v>
      </c>
      <c r="G195" t="str" cm="1">
        <f t="array" ref="G195">IFERROR(
  _xlfn.IFS(F195="Current City","No Direction",
    OR(F195&gt;=337.5,F195&lt;22.5),"N",
    F195&lt;67.5,"NE",
    F195&lt;112.5,"E",
    F195&lt;157.5,"SE",
    F195&lt;202.5,"S",
    F195&lt;247.5,"SW",
    F195&lt;292.5,"W",
    F195&lt;337.5,"NW"
  ), "No Direction"
)</f>
        <v>NW</v>
      </c>
    </row>
    <row r="196" spans="1:7" x14ac:dyDescent="0.2">
      <c r="A196" t="s">
        <v>566</v>
      </c>
      <c r="B196" t="s">
        <v>569</v>
      </c>
      <c r="C196">
        <v>24.1161994575045</v>
      </c>
      <c r="D196">
        <v>84.9329580470162</v>
      </c>
      <c r="E196">
        <f t="shared" si="6"/>
        <v>305.74900198127517</v>
      </c>
      <c r="F196" s="34">
        <f t="shared" si="7"/>
        <v>310.27944201189109</v>
      </c>
      <c r="G196" t="str" cm="1">
        <f t="array" ref="G196">IFERROR(
  _xlfn.IFS(F196="Current City","No Direction",
    OR(F196&gt;=337.5,F196&lt;22.5),"N",
    F196&lt;67.5,"NE",
    F196&lt;112.5,"E",
    F196&lt;157.5,"SE",
    F196&lt;202.5,"S",
    F196&lt;247.5,"SW",
    F196&lt;292.5,"W",
    F196&lt;337.5,"NW"
  ), "No Direction"
)</f>
        <v>NW</v>
      </c>
    </row>
    <row r="197" spans="1:7" x14ac:dyDescent="0.2">
      <c r="A197" t="s">
        <v>566</v>
      </c>
      <c r="B197" t="s">
        <v>572</v>
      </c>
      <c r="C197">
        <v>24.330701007556701</v>
      </c>
      <c r="D197">
        <v>86.756976322418097</v>
      </c>
      <c r="E197">
        <f t="shared" si="6"/>
        <v>224.96590898524994</v>
      </c>
      <c r="F197" s="34">
        <f t="shared" si="7"/>
        <v>347.67031544720118</v>
      </c>
      <c r="G197" t="str" cm="1">
        <f t="array" ref="G197">IFERROR(
  _xlfn.IFS(F197="Current City","No Direction",
    OR(F197&gt;=337.5,F197&lt;22.5),"N",
    F197&lt;67.5,"NE",
    F197&lt;112.5,"E",
    F197&lt;157.5,"SE",
    F197&lt;202.5,"S",
    F197&lt;247.5,"SW",
    F197&lt;292.5,"W",
    F197&lt;337.5,"NW"
  ), "No Direction"
)</f>
        <v>N</v>
      </c>
    </row>
    <row r="198" spans="1:7" x14ac:dyDescent="0.2">
      <c r="A198" t="s">
        <v>566</v>
      </c>
      <c r="B198" t="s">
        <v>575</v>
      </c>
      <c r="C198">
        <v>23.854509090909001</v>
      </c>
      <c r="D198">
        <v>86.403729249011803</v>
      </c>
      <c r="E198">
        <f t="shared" si="6"/>
        <v>186.98594809673301</v>
      </c>
      <c r="F198" s="34">
        <f t="shared" si="7"/>
        <v>333.2572819849118</v>
      </c>
      <c r="G198" t="str" cm="1">
        <f t="array" ref="G198">IFERROR(
  _xlfn.IFS(F198="Current City","No Direction",
    OR(F198&gt;=337.5,F198&lt;22.5),"N",
    F198&lt;67.5,"NE",
    F198&lt;112.5,"E",
    F198&lt;157.5,"SE",
    F198&lt;202.5,"S",
    F198&lt;247.5,"SW",
    F198&lt;292.5,"W",
    F198&lt;337.5,"NW"
  ), "No Direction"
)</f>
        <v>NW</v>
      </c>
    </row>
    <row r="199" spans="1:7" x14ac:dyDescent="0.2">
      <c r="A199" t="s">
        <v>566</v>
      </c>
      <c r="B199" t="s">
        <v>578</v>
      </c>
      <c r="C199">
        <v>24.275006125574201</v>
      </c>
      <c r="D199">
        <v>87.276624502297096</v>
      </c>
      <c r="E199">
        <f t="shared" si="6"/>
        <v>213.55718852255964</v>
      </c>
      <c r="F199" s="34">
        <f t="shared" si="7"/>
        <v>1.2406967685166137</v>
      </c>
      <c r="G199" t="str" cm="1">
        <f t="array" ref="G199">IFERROR(
  _xlfn.IFS(F199="Current City","No Direction",
    OR(F199&gt;=337.5,F199&lt;22.5),"N",
    F199&lt;67.5,"NE",
    F199&lt;112.5,"E",
    F199&lt;157.5,"SE",
    F199&lt;202.5,"S",
    F199&lt;247.5,"SW",
    F199&lt;292.5,"W",
    F199&lt;337.5,"NW"
  ), "No Direction"
)</f>
        <v>N</v>
      </c>
    </row>
    <row r="200" spans="1:7" x14ac:dyDescent="0.2">
      <c r="A200" t="s">
        <v>566</v>
      </c>
      <c r="B200" t="s">
        <v>581</v>
      </c>
      <c r="C200">
        <v>24.082114689265499</v>
      </c>
      <c r="D200">
        <v>83.686642655367194</v>
      </c>
      <c r="E200">
        <f t="shared" si="6"/>
        <v>409.93923925052451</v>
      </c>
      <c r="F200" s="34">
        <f t="shared" si="7"/>
        <v>298.62567003217475</v>
      </c>
      <c r="G200" t="str" cm="1">
        <f t="array" ref="G200">IFERROR(
  _xlfn.IFS(F200="Current City","No Direction",
    OR(F200&gt;=337.5,F200&lt;22.5),"N",
    F200&lt;67.5,"NE",
    F200&lt;112.5,"E",
    F200&lt;157.5,"SE",
    F200&lt;202.5,"S",
    F200&lt;247.5,"SW",
    F200&lt;292.5,"W",
    F200&lt;337.5,"NW"
  ), "No Direction"
)</f>
        <v>NW</v>
      </c>
    </row>
    <row r="201" spans="1:7" x14ac:dyDescent="0.2">
      <c r="A201" t="s">
        <v>566</v>
      </c>
      <c r="B201" t="s">
        <v>584</v>
      </c>
      <c r="C201">
        <v>24.3057850987432</v>
      </c>
      <c r="D201">
        <v>86.087109156193804</v>
      </c>
      <c r="E201">
        <f t="shared" si="6"/>
        <v>246.36847320247358</v>
      </c>
      <c r="F201" s="34">
        <f t="shared" si="7"/>
        <v>331.92617562000538</v>
      </c>
      <c r="G201" t="str" cm="1">
        <f t="array" ref="G201">IFERROR(
  _xlfn.IFS(F201="Current City","No Direction",
    OR(F201&gt;=337.5,F201&lt;22.5),"N",
    F201&lt;67.5,"NE",
    F201&lt;112.5,"E",
    F201&lt;157.5,"SE",
    F201&lt;202.5,"S",
    F201&lt;247.5,"SW",
    F201&lt;292.5,"W",
    F201&lt;337.5,"NW"
  ), "No Direction"
)</f>
        <v>NW</v>
      </c>
    </row>
    <row r="202" spans="1:7" x14ac:dyDescent="0.2">
      <c r="A202" t="s">
        <v>566</v>
      </c>
      <c r="B202" t="s">
        <v>587</v>
      </c>
      <c r="C202">
        <v>24.8188999999999</v>
      </c>
      <c r="D202">
        <v>87.294173548387107</v>
      </c>
      <c r="E202">
        <f t="shared" si="6"/>
        <v>274.0602105721822</v>
      </c>
      <c r="F202" s="34">
        <f t="shared" si="7"/>
        <v>1.3331654008086389</v>
      </c>
      <c r="G202" t="str" cm="1">
        <f t="array" ref="G202">IFERROR(
  _xlfn.IFS(F202="Current City","No Direction",
    OR(F202&gt;=337.5,F202&lt;22.5),"N",
    F202&lt;67.5,"NE",
    F202&lt;112.5,"E",
    F202&lt;157.5,"SE",
    F202&lt;202.5,"S",
    F202&lt;247.5,"SW",
    F202&lt;292.5,"W",
    F202&lt;337.5,"NW"
  ), "No Direction"
)</f>
        <v>N</v>
      </c>
    </row>
    <row r="203" spans="1:7" x14ac:dyDescent="0.2">
      <c r="A203" t="s">
        <v>566</v>
      </c>
      <c r="B203" t="s">
        <v>589</v>
      </c>
      <c r="C203">
        <v>23.078532948929102</v>
      </c>
      <c r="D203">
        <v>84.550567874793899</v>
      </c>
      <c r="E203">
        <f t="shared" si="6"/>
        <v>286.45753675195482</v>
      </c>
      <c r="F203" s="34">
        <f t="shared" si="7"/>
        <v>286.82802779414783</v>
      </c>
      <c r="G203" t="str" cm="1">
        <f t="array" ref="G203">IFERROR(
  _xlfn.IFS(F203="Current City","No Direction",
    OR(F203&gt;=337.5,F203&lt;22.5),"N",
    F203&lt;67.5,"NE",
    F203&lt;112.5,"E",
    F203&lt;157.5,"SE",
    F203&lt;202.5,"S",
    F203&lt;247.5,"SW",
    F203&lt;292.5,"W",
    F203&lt;337.5,"NW"
  ), "No Direction"
)</f>
        <v>W</v>
      </c>
    </row>
    <row r="204" spans="1:7" x14ac:dyDescent="0.2">
      <c r="A204" t="s">
        <v>566</v>
      </c>
      <c r="B204" t="s">
        <v>592</v>
      </c>
      <c r="C204">
        <v>23.943241973969599</v>
      </c>
      <c r="D204">
        <v>85.494413123644193</v>
      </c>
      <c r="E204">
        <f t="shared" si="6"/>
        <v>250.4296504958468</v>
      </c>
      <c r="F204" s="34">
        <f t="shared" si="7"/>
        <v>315.18657883411601</v>
      </c>
      <c r="G204" t="str" cm="1">
        <f t="array" ref="G204">IFERROR(
  _xlfn.IFS(F204="Current City","No Direction",
    OR(F204&gt;=337.5,F204&lt;22.5),"N",
    F204&lt;67.5,"NE",
    F204&lt;112.5,"E",
    F204&lt;157.5,"SE",
    F204&lt;202.5,"S",
    F204&lt;247.5,"SW",
    F204&lt;292.5,"W",
    F204&lt;337.5,"NW"
  ), "No Direction"
)</f>
        <v>NW</v>
      </c>
    </row>
    <row r="205" spans="1:7" x14ac:dyDescent="0.2">
      <c r="A205" t="s">
        <v>566</v>
      </c>
      <c r="B205" t="s">
        <v>595</v>
      </c>
      <c r="C205">
        <v>23.978733180778001</v>
      </c>
      <c r="D205">
        <v>86.953250800915299</v>
      </c>
      <c r="E205">
        <f t="shared" si="6"/>
        <v>182.78122645424534</v>
      </c>
      <c r="F205" s="34">
        <f t="shared" si="7"/>
        <v>351.11715037125168</v>
      </c>
      <c r="G205" t="str" cm="1">
        <f t="array" ref="G205">IFERROR(
  _xlfn.IFS(F205="Current City","No Direction",
    OR(F205&gt;=337.5,F205&lt;22.5),"N",
    F205&lt;67.5,"NE",
    F205&lt;112.5,"E",
    F205&lt;157.5,"SE",
    F205&lt;202.5,"S",
    F205&lt;247.5,"SW",
    F205&lt;292.5,"W",
    F205&lt;337.5,"NW"
  ), "No Direction"
)</f>
        <v>N</v>
      </c>
    </row>
    <row r="206" spans="1:7" x14ac:dyDescent="0.2">
      <c r="A206" t="s">
        <v>566</v>
      </c>
      <c r="B206" t="s">
        <v>598</v>
      </c>
      <c r="C206">
        <v>24.556719434628899</v>
      </c>
      <c r="D206">
        <v>85.7169091872792</v>
      </c>
      <c r="E206">
        <f t="shared" si="6"/>
        <v>289.46856973266569</v>
      </c>
      <c r="F206" s="34">
        <f t="shared" si="7"/>
        <v>328.05307520866518</v>
      </c>
      <c r="G206" t="str" cm="1">
        <f t="array" ref="G206">IFERROR(
  _xlfn.IFS(F206="Current City","No Direction",
    OR(F206&gt;=337.5,F206&lt;22.5),"N",
    F206&lt;67.5,"NE",
    F206&lt;112.5,"E",
    F206&lt;157.5,"SE",
    F206&lt;202.5,"S",
    F206&lt;247.5,"SW",
    F206&lt;292.5,"W",
    F206&lt;337.5,"NW"
  ), "No Direction"
)</f>
        <v>NW</v>
      </c>
    </row>
    <row r="207" spans="1:7" x14ac:dyDescent="0.2">
      <c r="A207" t="s">
        <v>566</v>
      </c>
      <c r="B207" t="s">
        <v>600</v>
      </c>
      <c r="C207">
        <v>23.725111858407001</v>
      </c>
      <c r="D207">
        <v>84.482987433628296</v>
      </c>
      <c r="E207">
        <f t="shared" si="6"/>
        <v>319.80424430660304</v>
      </c>
      <c r="F207" s="34">
        <f t="shared" si="7"/>
        <v>298.98327899819071</v>
      </c>
      <c r="G207" t="str" cm="1">
        <f t="array" ref="G207">IFERROR(
  _xlfn.IFS(F207="Current City","No Direction",
    OR(F207&gt;=337.5,F207&lt;22.5),"N",
    F207&lt;67.5,"NE",
    F207&lt;112.5,"E",
    F207&lt;157.5,"SE",
    F207&lt;202.5,"S",
    F207&lt;247.5,"SW",
    F207&lt;292.5,"W",
    F207&lt;337.5,"NW"
  ), "No Direction"
)</f>
        <v>NW</v>
      </c>
    </row>
    <row r="208" spans="1:7" x14ac:dyDescent="0.2">
      <c r="A208" t="s">
        <v>566</v>
      </c>
      <c r="B208" t="s">
        <v>603</v>
      </c>
      <c r="C208">
        <v>23.488796043165401</v>
      </c>
      <c r="D208">
        <v>84.660516906474797</v>
      </c>
      <c r="E208">
        <f t="shared" si="6"/>
        <v>291.88339386003128</v>
      </c>
      <c r="F208" s="34">
        <f t="shared" si="7"/>
        <v>296.08813620917925</v>
      </c>
      <c r="G208" t="str" cm="1">
        <f t="array" ref="G208">IFERROR(
  _xlfn.IFS(F208="Current City","No Direction",
    OR(F208&gt;=337.5,F208&lt;22.5),"N",
    F208&lt;67.5,"NE",
    F208&lt;112.5,"E",
    F208&lt;157.5,"SE",
    F208&lt;202.5,"S",
    F208&lt;247.5,"SW",
    F208&lt;292.5,"W",
    F208&lt;337.5,"NW"
  ), "No Direction"
)</f>
        <v>NW</v>
      </c>
    </row>
    <row r="209" spans="1:7" x14ac:dyDescent="0.2">
      <c r="A209" t="s">
        <v>566</v>
      </c>
      <c r="B209" t="s">
        <v>605</v>
      </c>
      <c r="C209">
        <v>24.5726042808218</v>
      </c>
      <c r="D209">
        <v>87.696919691780707</v>
      </c>
      <c r="E209">
        <f t="shared" si="6"/>
        <v>251.13428332383819</v>
      </c>
      <c r="F209" s="34">
        <f t="shared" si="7"/>
        <v>10.815859246474758</v>
      </c>
      <c r="G209" t="str" cm="1">
        <f t="array" ref="G209">IFERROR(
  _xlfn.IFS(F209="Current City","No Direction",
    OR(F209&gt;=337.5,F209&lt;22.5),"N",
    F209&lt;67.5,"NE",
    F209&lt;112.5,"E",
    F209&lt;157.5,"SE",
    F209&lt;202.5,"S",
    F209&lt;247.5,"SW",
    F209&lt;292.5,"W",
    F209&lt;337.5,"NW"
  ), "No Direction"
)</f>
        <v>N</v>
      </c>
    </row>
    <row r="210" spans="1:7" x14ac:dyDescent="0.2">
      <c r="A210" t="s">
        <v>566</v>
      </c>
      <c r="B210" t="s">
        <v>608</v>
      </c>
      <c r="C210">
        <v>24.196925968109301</v>
      </c>
      <c r="D210">
        <v>84.203108428245898</v>
      </c>
      <c r="E210">
        <f t="shared" si="6"/>
        <v>370.9370606025908</v>
      </c>
      <c r="F210" s="34">
        <f t="shared" si="7"/>
        <v>304.10567296868589</v>
      </c>
      <c r="G210" t="str" cm="1">
        <f t="array" ref="G210">IFERROR(
  _xlfn.IFS(F210="Current City","No Direction",
    OR(F210&gt;=337.5,F210&lt;22.5),"N",
    F210&lt;67.5,"NE",
    F210&lt;112.5,"E",
    F210&lt;157.5,"SE",
    F210&lt;202.5,"S",
    F210&lt;247.5,"SW",
    F210&lt;292.5,"W",
    F210&lt;337.5,"NW"
  ), "No Direction"
)</f>
        <v>NW</v>
      </c>
    </row>
    <row r="211" spans="1:7" x14ac:dyDescent="0.2">
      <c r="A211" t="s">
        <v>566</v>
      </c>
      <c r="B211" t="s">
        <v>611</v>
      </c>
      <c r="C211">
        <v>22.399408487654298</v>
      </c>
      <c r="D211">
        <v>85.540984104938204</v>
      </c>
      <c r="E211">
        <f t="shared" si="6"/>
        <v>173.84137075374005</v>
      </c>
      <c r="F211" s="34">
        <f t="shared" si="7"/>
        <v>271.95308789699175</v>
      </c>
      <c r="G211" t="str" cm="1">
        <f t="array" ref="G211">IFERROR(
  _xlfn.IFS(F211="Current City","No Direction",
    OR(F211&gt;=337.5,F211&lt;22.5),"N",
    F211&lt;67.5,"NE",
    F211&lt;112.5,"E",
    F211&lt;157.5,"SE",
    F211&lt;202.5,"S",
    F211&lt;247.5,"SW",
    F211&lt;292.5,"W",
    F211&lt;337.5,"NW"
  ), "No Direction"
)</f>
        <v>W</v>
      </c>
    </row>
    <row r="212" spans="1:7" x14ac:dyDescent="0.2">
      <c r="A212" t="s">
        <v>566</v>
      </c>
      <c r="B212" t="s">
        <v>613</v>
      </c>
      <c r="C212">
        <v>22.591334362934301</v>
      </c>
      <c r="D212">
        <v>86.509101351351305</v>
      </c>
      <c r="E212">
        <f t="shared" si="6"/>
        <v>78.698224700723017</v>
      </c>
      <c r="F212" s="34">
        <f t="shared" si="7"/>
        <v>289.65362877766506</v>
      </c>
      <c r="G212" t="str" cm="1">
        <f t="array" ref="G212">IFERROR(
  _xlfn.IFS(F212="Current City","No Direction",
    OR(F212&gt;=337.5,F212&lt;22.5),"N",
    F212&lt;67.5,"NE",
    F212&lt;112.5,"E",
    F212&lt;157.5,"SE",
    F212&lt;202.5,"S",
    F212&lt;247.5,"SW",
    F212&lt;292.5,"W",
    F212&lt;337.5,"NW"
  ), "No Direction"
)</f>
        <v>W</v>
      </c>
    </row>
    <row r="213" spans="1:7" x14ac:dyDescent="0.2">
      <c r="A213" t="s">
        <v>566</v>
      </c>
      <c r="B213" t="s">
        <v>616</v>
      </c>
      <c r="C213">
        <v>23.184235061391501</v>
      </c>
      <c r="D213">
        <v>85.317819372442003</v>
      </c>
      <c r="E213">
        <f t="shared" si="6"/>
        <v>216.75070520516883</v>
      </c>
      <c r="F213" s="34">
        <f t="shared" si="7"/>
        <v>295.54719605861209</v>
      </c>
      <c r="G213" t="str" cm="1">
        <f t="array" ref="G213">IFERROR(
  _xlfn.IFS(F213="Current City","No Direction",
    OR(F213&gt;=337.5,F213&lt;22.5),"N",
    F213&lt;67.5,"NE",
    F213&lt;112.5,"E",
    F213&lt;157.5,"SE",
    F213&lt;202.5,"S",
    F213&lt;247.5,"SW",
    F213&lt;292.5,"W",
    F213&lt;337.5,"NW"
  ), "No Direction"
)</f>
        <v>NW</v>
      </c>
    </row>
    <row r="214" spans="1:7" x14ac:dyDescent="0.2">
      <c r="A214" t="s">
        <v>566</v>
      </c>
      <c r="B214" t="s">
        <v>619</v>
      </c>
      <c r="C214">
        <v>24.936679896907201</v>
      </c>
      <c r="D214">
        <v>87.682640979381404</v>
      </c>
      <c r="E214">
        <f t="shared" si="6"/>
        <v>290.74258100616174</v>
      </c>
      <c r="F214" s="34">
        <f t="shared" si="7"/>
        <v>9.0139863980492692</v>
      </c>
      <c r="G214" t="str" cm="1">
        <f t="array" ref="G214">IFERROR(
  _xlfn.IFS(F214="Current City","No Direction",
    OR(F214&gt;=337.5,F214&lt;22.5),"N",
    F214&lt;67.5,"NE",
    F214&lt;112.5,"E",
    F214&lt;157.5,"SE",
    F214&lt;202.5,"S",
    F214&lt;247.5,"SW",
    F214&lt;292.5,"W",
    F214&lt;337.5,"NW"
  ), "No Direction"
)</f>
        <v>N</v>
      </c>
    </row>
    <row r="215" spans="1:7" x14ac:dyDescent="0.2">
      <c r="A215" t="s">
        <v>566</v>
      </c>
      <c r="B215" t="s">
        <v>622</v>
      </c>
      <c r="C215">
        <v>22.855913921113601</v>
      </c>
      <c r="D215">
        <v>85.896149187934995</v>
      </c>
      <c r="E215">
        <f t="shared" si="6"/>
        <v>147.91801158532783</v>
      </c>
      <c r="F215" s="34">
        <f t="shared" si="7"/>
        <v>292.38060146971475</v>
      </c>
      <c r="G215" t="str" cm="1">
        <f t="array" ref="G215">IFERROR(
  _xlfn.IFS(F215="Current City","No Direction",
    OR(F215&gt;=337.5,F215&lt;22.5),"N",
    F215&lt;67.5,"NE",
    F215&lt;112.5,"E",
    F215&lt;157.5,"SE",
    F215&lt;202.5,"S",
    F215&lt;247.5,"SW",
    F215&lt;292.5,"W",
    F215&lt;337.5,"NW"
  ), "No Direction"
)</f>
        <v>W</v>
      </c>
    </row>
    <row r="216" spans="1:7" x14ac:dyDescent="0.2">
      <c r="A216" t="s">
        <v>566</v>
      </c>
      <c r="B216" t="s">
        <v>625</v>
      </c>
      <c r="C216">
        <v>22.608760391198</v>
      </c>
      <c r="D216">
        <v>84.591936919315302</v>
      </c>
      <c r="E216">
        <f t="shared" si="6"/>
        <v>272.6115132225413</v>
      </c>
      <c r="F216" s="34">
        <f t="shared" si="7"/>
        <v>276.44703181327156</v>
      </c>
      <c r="G216" t="str" cm="1">
        <f t="array" ref="G216">IFERROR(
  _xlfn.IFS(F216="Current City","No Direction",
    OR(F216&gt;=337.5,F216&lt;22.5),"N",
    F216&lt;67.5,"NE",
    F216&lt;112.5,"E",
    F216&lt;157.5,"SE",
    F216&lt;202.5,"S",
    F216&lt;247.5,"SW",
    F216&lt;292.5,"W",
    F216&lt;337.5,"NW"
  ), "No Direction"
)</f>
        <v>W</v>
      </c>
    </row>
    <row r="217" spans="1:7" x14ac:dyDescent="0.2">
      <c r="A217" t="s">
        <v>628</v>
      </c>
      <c r="B217" t="s">
        <v>629</v>
      </c>
      <c r="C217">
        <v>16.158606763285</v>
      </c>
      <c r="D217">
        <v>75.645260708534593</v>
      </c>
      <c r="E217">
        <f t="shared" si="6"/>
        <v>1396.9006277738279</v>
      </c>
      <c r="F217" s="34">
        <f t="shared" si="7"/>
        <v>242.48267553809649</v>
      </c>
      <c r="G217" t="str" cm="1">
        <f t="array" ref="G217">IFERROR(
  _xlfn.IFS(F217="Current City","No Direction",
    OR(F217&gt;=337.5,F217&lt;22.5),"N",
    F217&lt;67.5,"NE",
    F217&lt;112.5,"E",
    F217&lt;157.5,"SE",
    F217&lt;202.5,"S",
    F217&lt;247.5,"SW",
    F217&lt;292.5,"W",
    F217&lt;337.5,"NW"
  ), "No Direction"
)</f>
        <v>SW</v>
      </c>
    </row>
    <row r="218" spans="1:7" x14ac:dyDescent="0.2">
      <c r="A218" t="s">
        <v>628</v>
      </c>
      <c r="B218" t="s">
        <v>632</v>
      </c>
      <c r="C218">
        <v>12.9368270877944</v>
      </c>
      <c r="D218">
        <v>77.473693147751604</v>
      </c>
      <c r="E218">
        <f t="shared" si="6"/>
        <v>1470.4813239495663</v>
      </c>
      <c r="F218" s="34">
        <f t="shared" si="7"/>
        <v>226.22187994842852</v>
      </c>
      <c r="G218" t="str" cm="1">
        <f t="array" ref="G218">IFERROR(
  _xlfn.IFS(F218="Current City","No Direction",
    OR(F218&gt;=337.5,F218&lt;22.5),"N",
    F218&lt;67.5,"NE",
    F218&lt;112.5,"E",
    F218&lt;157.5,"SE",
    F218&lt;202.5,"S",
    F218&lt;247.5,"SW",
    F218&lt;292.5,"W",
    F218&lt;337.5,"NW"
  ), "No Direction"
)</f>
        <v>SW</v>
      </c>
    </row>
    <row r="219" spans="1:7" x14ac:dyDescent="0.2">
      <c r="A219" t="s">
        <v>628</v>
      </c>
      <c r="B219" t="s">
        <v>635</v>
      </c>
      <c r="C219">
        <v>12.901924930747899</v>
      </c>
      <c r="D219">
        <v>77.586855955678601</v>
      </c>
      <c r="E219">
        <f t="shared" si="6"/>
        <v>1464.9475693805496</v>
      </c>
      <c r="F219" s="34">
        <f t="shared" si="7"/>
        <v>225.76450523177039</v>
      </c>
      <c r="G219" t="str" cm="1">
        <f t="array" ref="G219">IFERROR(
  _xlfn.IFS(F219="Current City","No Direction",
    OR(F219&gt;=337.5,F219&lt;22.5),"N",
    F219&lt;67.5,"NE",
    F219&lt;112.5,"E",
    F219&lt;157.5,"SE",
    F219&lt;202.5,"S",
    F219&lt;247.5,"SW",
    F219&lt;292.5,"W",
    F219&lt;337.5,"NW"
  ), "No Direction"
)</f>
        <v>SW</v>
      </c>
    </row>
    <row r="220" spans="1:7" x14ac:dyDescent="0.2">
      <c r="A220" t="s">
        <v>628</v>
      </c>
      <c r="B220" t="s">
        <v>638</v>
      </c>
      <c r="C220">
        <v>16.1610721915285</v>
      </c>
      <c r="D220">
        <v>74.723290423572706</v>
      </c>
      <c r="E220">
        <f t="shared" si="6"/>
        <v>1481.6158493264543</v>
      </c>
      <c r="F220" s="34">
        <f t="shared" si="7"/>
        <v>244.4988609118825</v>
      </c>
      <c r="G220" t="str" cm="1">
        <f t="array" ref="G220">IFERROR(
  _xlfn.IFS(F220="Current City","No Direction",
    OR(F220&gt;=337.5,F220&lt;22.5),"N",
    F220&lt;67.5,"NE",
    F220&lt;112.5,"E",
    F220&lt;157.5,"SE",
    F220&lt;202.5,"S",
    F220&lt;247.5,"SW",
    F220&lt;292.5,"W",
    F220&lt;337.5,"NW"
  ), "No Direction"
)</f>
        <v>SW</v>
      </c>
    </row>
    <row r="221" spans="1:7" x14ac:dyDescent="0.2">
      <c r="A221" t="s">
        <v>628</v>
      </c>
      <c r="B221" t="s">
        <v>641</v>
      </c>
      <c r="C221">
        <v>15.0743775482093</v>
      </c>
      <c r="D221">
        <v>76.472284710743693</v>
      </c>
      <c r="E221">
        <f t="shared" si="6"/>
        <v>1391.5831334684385</v>
      </c>
      <c r="F221" s="34">
        <f t="shared" si="7"/>
        <v>236.2868294526906</v>
      </c>
      <c r="G221" t="str" cm="1">
        <f t="array" ref="G221">IFERROR(
  _xlfn.IFS(F221="Current City","No Direction",
    OR(F221&gt;=337.5,F221&lt;22.5),"N",
    F221&lt;67.5,"NE",
    F221&lt;112.5,"E",
    F221&lt;157.5,"SE",
    F221&lt;202.5,"S",
    F221&lt;247.5,"SW",
    F221&lt;292.5,"W",
    F221&lt;337.5,"NW"
  ), "No Direction"
)</f>
        <v>SW</v>
      </c>
    </row>
    <row r="222" spans="1:7" x14ac:dyDescent="0.2">
      <c r="A222" t="s">
        <v>628</v>
      </c>
      <c r="B222" t="s">
        <v>644</v>
      </c>
      <c r="C222">
        <v>17.950361730769199</v>
      </c>
      <c r="D222">
        <v>77.194599615384504</v>
      </c>
      <c r="E222">
        <f t="shared" si="6"/>
        <v>1156.0259523813395</v>
      </c>
      <c r="F222" s="34">
        <f t="shared" si="7"/>
        <v>246.74081383712331</v>
      </c>
      <c r="G222" t="str" cm="1">
        <f t="array" ref="G222">IFERROR(
  _xlfn.IFS(F222="Current City","No Direction",
    OR(F222&gt;=337.5,F222&lt;22.5),"N",
    F222&lt;67.5,"NE",
    F222&lt;112.5,"E",
    F222&lt;157.5,"SE",
    F222&lt;202.5,"S",
    F222&lt;247.5,"SW",
    F222&lt;292.5,"W",
    F222&lt;337.5,"NW"
  ), "No Direction"
)</f>
        <v>SW</v>
      </c>
    </row>
    <row r="223" spans="1:7" x14ac:dyDescent="0.2">
      <c r="A223" t="s">
        <v>628</v>
      </c>
      <c r="B223" t="s">
        <v>647</v>
      </c>
      <c r="C223">
        <v>16.8401531666666</v>
      </c>
      <c r="D223">
        <v>75.959091666666595</v>
      </c>
      <c r="E223">
        <f t="shared" si="6"/>
        <v>1329.7602535820763</v>
      </c>
      <c r="F223" s="34">
        <f t="shared" si="7"/>
        <v>244.53850318576204</v>
      </c>
      <c r="G223" t="str" cm="1">
        <f t="array" ref="G223">IFERROR(
  _xlfn.IFS(F223="Current City","No Direction",
    OR(F223&gt;=337.5,F223&lt;22.5),"N",
    F223&lt;67.5,"NE",
    F223&lt;112.5,"E",
    F223&lt;157.5,"SE",
    F223&lt;202.5,"S",
    F223&lt;247.5,"SW",
    F223&lt;292.5,"W",
    F223&lt;337.5,"NW"
  ), "No Direction"
)</f>
        <v>SW</v>
      </c>
    </row>
    <row r="224" spans="1:7" x14ac:dyDescent="0.2">
      <c r="A224" t="s">
        <v>628</v>
      </c>
      <c r="B224" t="s">
        <v>650</v>
      </c>
      <c r="C224">
        <v>11.9524799999999</v>
      </c>
      <c r="D224">
        <v>77.023849599999906</v>
      </c>
      <c r="E224">
        <f t="shared" si="6"/>
        <v>1584.1867826667021</v>
      </c>
      <c r="F224" s="34">
        <f t="shared" si="7"/>
        <v>224.78504329689287</v>
      </c>
      <c r="G224" t="str" cm="1">
        <f t="array" ref="G224">IFERROR(
  _xlfn.IFS(F224="Current City","No Direction",
    OR(F224&gt;=337.5,F224&lt;22.5),"N",
    F224&lt;67.5,"NE",
    F224&lt;112.5,"E",
    F224&lt;157.5,"SE",
    F224&lt;202.5,"S",
    F224&lt;247.5,"SW",
    F224&lt;292.5,"W",
    F224&lt;337.5,"NW"
  ), "No Direction"
)</f>
        <v>SW</v>
      </c>
    </row>
    <row r="225" spans="1:7" x14ac:dyDescent="0.2">
      <c r="A225" t="s">
        <v>628</v>
      </c>
      <c r="B225" t="s">
        <v>653</v>
      </c>
      <c r="C225">
        <v>13.4252882896764</v>
      </c>
      <c r="D225">
        <v>75.676265023112407</v>
      </c>
      <c r="E225">
        <f t="shared" si="6"/>
        <v>1573.674988541263</v>
      </c>
      <c r="F225" s="34">
        <f t="shared" si="7"/>
        <v>232.83006007474285</v>
      </c>
      <c r="G225" t="str" cm="1">
        <f t="array" ref="G225">IFERROR(
  _xlfn.IFS(F225="Current City","No Direction",
    OR(F225&gt;=337.5,F225&lt;22.5),"N",
    F225&lt;67.5,"NE",
    F225&lt;112.5,"E",
    F225&lt;157.5,"SE",
    F225&lt;202.5,"S",
    F225&lt;247.5,"SW",
    F225&lt;292.5,"W",
    F225&lt;337.5,"NW"
  ), "No Direction"
)</f>
        <v>SW</v>
      </c>
    </row>
    <row r="226" spans="1:7" x14ac:dyDescent="0.2">
      <c r="A226" t="s">
        <v>628</v>
      </c>
      <c r="B226" t="s">
        <v>656</v>
      </c>
      <c r="C226">
        <v>14.2910222039473</v>
      </c>
      <c r="D226">
        <v>76.578219572368397</v>
      </c>
      <c r="E226">
        <f t="shared" si="6"/>
        <v>1437.1219722616759</v>
      </c>
      <c r="F226" s="34">
        <f t="shared" si="7"/>
        <v>233.21772519624648</v>
      </c>
      <c r="G226" t="str" cm="1">
        <f t="array" ref="G226">IFERROR(
  _xlfn.IFS(F226="Current City","No Direction",
    OR(F226&gt;=337.5,F226&lt;22.5),"N",
    F226&lt;67.5,"NE",
    F226&lt;112.5,"E",
    F226&lt;157.5,"SE",
    F226&lt;202.5,"S",
    F226&lt;247.5,"SW",
    F226&lt;292.5,"W",
    F226&lt;337.5,"NW"
  ), "No Direction"
)</f>
        <v>SW</v>
      </c>
    </row>
    <row r="227" spans="1:7" x14ac:dyDescent="0.2">
      <c r="A227" t="s">
        <v>628</v>
      </c>
      <c r="B227" t="s">
        <v>659</v>
      </c>
      <c r="C227">
        <v>12.8912045481747</v>
      </c>
      <c r="D227">
        <v>74.962162776780204</v>
      </c>
      <c r="E227">
        <f t="shared" si="6"/>
        <v>1671.0173270125608</v>
      </c>
      <c r="F227" s="34">
        <f t="shared" si="7"/>
        <v>233.02447129061005</v>
      </c>
      <c r="G227" t="str" cm="1">
        <f t="array" ref="G227">IFERROR(
  _xlfn.IFS(F227="Current City","No Direction",
    OR(F227&gt;=337.5,F227&lt;22.5),"N",
    F227&lt;67.5,"NE",
    F227&lt;112.5,"E",
    F227&lt;157.5,"SE",
    F227&lt;202.5,"S",
    F227&lt;247.5,"SW",
    F227&lt;292.5,"W",
    F227&lt;337.5,"NW"
  ), "No Direction"
)</f>
        <v>SW</v>
      </c>
    </row>
    <row r="228" spans="1:7" x14ac:dyDescent="0.2">
      <c r="A228" t="s">
        <v>628</v>
      </c>
      <c r="B228" t="s">
        <v>662</v>
      </c>
      <c r="C228">
        <v>14.3304145867098</v>
      </c>
      <c r="D228">
        <v>75.917238411669302</v>
      </c>
      <c r="E228">
        <f t="shared" si="6"/>
        <v>1489.4677830403712</v>
      </c>
      <c r="F228" s="34">
        <f t="shared" si="7"/>
        <v>235.13342318502737</v>
      </c>
      <c r="G228" t="str" cm="1">
        <f t="array" ref="G228">IFERROR(
  _xlfn.IFS(F228="Current City","No Direction",
    OR(F228&gt;=337.5,F228&lt;22.5),"N",
    F228&lt;67.5,"NE",
    F228&lt;112.5,"E",
    F228&lt;157.5,"SE",
    F228&lt;202.5,"S",
    F228&lt;247.5,"SW",
    F228&lt;292.5,"W",
    F228&lt;337.5,"NW"
  ), "No Direction"
)</f>
        <v>SW</v>
      </c>
    </row>
    <row r="229" spans="1:7" x14ac:dyDescent="0.2">
      <c r="A229" t="s">
        <v>628</v>
      </c>
      <c r="B229" t="s">
        <v>665</v>
      </c>
      <c r="C229">
        <v>15.3438313769751</v>
      </c>
      <c r="D229">
        <v>75.138312641083502</v>
      </c>
      <c r="E229">
        <f t="shared" si="6"/>
        <v>1491.2254931137629</v>
      </c>
      <c r="F229" s="34">
        <f t="shared" si="7"/>
        <v>240.58151881073343</v>
      </c>
      <c r="G229" t="str" cm="1">
        <f t="array" ref="G229">IFERROR(
  _xlfn.IFS(F229="Current City","No Direction",
    OR(F229&gt;=337.5,F229&lt;22.5),"N",
    F229&lt;67.5,"NE",
    F229&lt;112.5,"E",
    F229&lt;157.5,"SE",
    F229&lt;202.5,"S",
    F229&lt;247.5,"SW",
    F229&lt;292.5,"W",
    F229&lt;337.5,"NW"
  ), "No Direction"
)</f>
        <v>SW</v>
      </c>
    </row>
    <row r="230" spans="1:7" x14ac:dyDescent="0.2">
      <c r="A230" t="s">
        <v>628</v>
      </c>
      <c r="B230" t="s">
        <v>668</v>
      </c>
      <c r="C230">
        <v>15.5071282568807</v>
      </c>
      <c r="D230">
        <v>75.648613027522899</v>
      </c>
      <c r="E230">
        <f t="shared" si="6"/>
        <v>1435.608383381149</v>
      </c>
      <c r="F230" s="34">
        <f t="shared" si="7"/>
        <v>239.98448018406066</v>
      </c>
      <c r="G230" t="str" cm="1">
        <f t="array" ref="G230">IFERROR(
  _xlfn.IFS(F230="Current City","No Direction",
    OR(F230&gt;=337.5,F230&lt;22.5),"N",
    F230&lt;67.5,"NE",
    F230&lt;112.5,"E",
    F230&lt;157.5,"SE",
    F230&lt;202.5,"S",
    F230&lt;247.5,"SW",
    F230&lt;292.5,"W",
    F230&lt;337.5,"NW"
  ), "No Direction"
)</f>
        <v>SW</v>
      </c>
    </row>
    <row r="231" spans="1:7" x14ac:dyDescent="0.2">
      <c r="A231" t="s">
        <v>628</v>
      </c>
      <c r="B231" t="s">
        <v>671</v>
      </c>
      <c r="C231">
        <v>17.070459515951502</v>
      </c>
      <c r="D231">
        <v>76.875038503850305</v>
      </c>
      <c r="E231">
        <f t="shared" si="6"/>
        <v>1232.4430315488762</v>
      </c>
      <c r="F231" s="34">
        <f t="shared" si="7"/>
        <v>243.36687265294125</v>
      </c>
      <c r="G231" t="str" cm="1">
        <f t="array" ref="G231">IFERROR(
  _xlfn.IFS(F231="Current City","No Direction",
    OR(F231&gt;=337.5,F231&lt;22.5),"N",
    F231&lt;67.5,"NE",
    F231&lt;112.5,"E",
    F231&lt;157.5,"SE",
    F231&lt;202.5,"S",
    F231&lt;247.5,"SW",
    F231&lt;292.5,"W",
    F231&lt;337.5,"NW"
  ), "No Direction"
)</f>
        <v>SW</v>
      </c>
    </row>
    <row r="232" spans="1:7" x14ac:dyDescent="0.2">
      <c r="A232" t="s">
        <v>628</v>
      </c>
      <c r="B232" t="s">
        <v>674</v>
      </c>
      <c r="C232">
        <v>12.9450987499999</v>
      </c>
      <c r="D232">
        <v>76.110495499999899</v>
      </c>
      <c r="E232">
        <f t="shared" si="6"/>
        <v>1574.4170853869525</v>
      </c>
      <c r="F232" s="34">
        <f t="shared" si="7"/>
        <v>230.21390064575186</v>
      </c>
      <c r="G232" t="str" cm="1">
        <f t="array" ref="G232">IFERROR(
  _xlfn.IFS(F232="Current City","No Direction",
    OR(F232&gt;=337.5,F232&lt;22.5),"N",
    F232&lt;67.5,"NE",
    F232&lt;112.5,"E",
    F232&lt;157.5,"SE",
    F232&lt;202.5,"S",
    F232&lt;247.5,"SW",
    F232&lt;292.5,"W",
    F232&lt;337.5,"NW"
  ), "No Direction"
)</f>
        <v>SW</v>
      </c>
    </row>
    <row r="233" spans="1:7" x14ac:dyDescent="0.2">
      <c r="A233" t="s">
        <v>628</v>
      </c>
      <c r="B233" t="s">
        <v>677</v>
      </c>
      <c r="C233">
        <v>14.7375828092243</v>
      </c>
      <c r="D233">
        <v>75.396123060796597</v>
      </c>
      <c r="E233">
        <f t="shared" si="6"/>
        <v>1506.7799964069393</v>
      </c>
      <c r="F233" s="34">
        <f t="shared" si="7"/>
        <v>237.83466908543943</v>
      </c>
      <c r="G233" t="str" cm="1">
        <f t="array" ref="G233">IFERROR(
  _xlfn.IFS(F233="Current City","No Direction",
    OR(F233&gt;=337.5,F233&lt;22.5),"N",
    F233&lt;67.5,"NE",
    F233&lt;112.5,"E",
    F233&lt;157.5,"SE",
    F233&lt;202.5,"S",
    F233&lt;247.5,"SW",
    F233&lt;292.5,"W",
    F233&lt;337.5,"NW"
  ), "No Direction"
)</f>
        <v>SW</v>
      </c>
    </row>
    <row r="234" spans="1:7" x14ac:dyDescent="0.2">
      <c r="A234" t="s">
        <v>628</v>
      </c>
      <c r="B234" t="s">
        <v>679</v>
      </c>
      <c r="C234">
        <v>12.396844680851</v>
      </c>
      <c r="D234">
        <v>75.793365957446795</v>
      </c>
      <c r="E234">
        <f t="shared" si="6"/>
        <v>1641.3638851019962</v>
      </c>
      <c r="F234" s="34">
        <f t="shared" si="7"/>
        <v>229.47716539810722</v>
      </c>
      <c r="G234" t="str" cm="1">
        <f t="array" ref="G234">IFERROR(
  _xlfn.IFS(F234="Current City","No Direction",
    OR(F234&gt;=337.5,F234&lt;22.5),"N",
    F234&lt;67.5,"NE",
    F234&lt;112.5,"E",
    F234&lt;157.5,"SE",
    F234&lt;202.5,"S",
    F234&lt;247.5,"SW",
    F234&lt;292.5,"W",
    F234&lt;337.5,"NW"
  ), "No Direction"
)</f>
        <v>SW</v>
      </c>
    </row>
    <row r="235" spans="1:7" x14ac:dyDescent="0.2">
      <c r="A235" t="s">
        <v>628</v>
      </c>
      <c r="B235" t="s">
        <v>682</v>
      </c>
      <c r="C235">
        <v>13.312799881235099</v>
      </c>
      <c r="D235">
        <v>78.013769477434707</v>
      </c>
      <c r="E235">
        <f t="shared" si="6"/>
        <v>1400.0113787134835</v>
      </c>
      <c r="F235" s="34">
        <f t="shared" si="7"/>
        <v>225.64917569305467</v>
      </c>
      <c r="G235" t="str" cm="1">
        <f t="array" ref="G235">IFERROR(
  _xlfn.IFS(F235="Current City","No Direction",
    OR(F235&gt;=337.5,F235&lt;22.5),"N",
    F235&lt;67.5,"NE",
    F235&lt;112.5,"E",
    F235&lt;157.5,"SE",
    F235&lt;202.5,"S",
    F235&lt;247.5,"SW",
    F235&lt;292.5,"W",
    F235&lt;337.5,"NW"
  ), "No Direction"
)</f>
        <v>SW</v>
      </c>
    </row>
    <row r="236" spans="1:7" x14ac:dyDescent="0.2">
      <c r="A236" t="s">
        <v>628</v>
      </c>
      <c r="B236" t="s">
        <v>685</v>
      </c>
      <c r="C236">
        <v>15.651253271028001</v>
      </c>
      <c r="D236">
        <v>76.161704859813099</v>
      </c>
      <c r="E236">
        <f t="shared" si="6"/>
        <v>1381.1065586280481</v>
      </c>
      <c r="F236" s="34">
        <f t="shared" si="7"/>
        <v>239.26608374556554</v>
      </c>
      <c r="G236" t="str" cm="1">
        <f t="array" ref="G236">IFERROR(
  _xlfn.IFS(F236="Current City","No Direction",
    OR(F236&gt;=337.5,F236&lt;22.5),"N",
    F236&lt;67.5,"NE",
    F236&lt;112.5,"E",
    F236&lt;157.5,"SE",
    F236&lt;202.5,"S",
    F236&lt;247.5,"SW",
    F236&lt;292.5,"W",
    F236&lt;337.5,"NW"
  ), "No Direction"
)</f>
        <v>SW</v>
      </c>
    </row>
    <row r="237" spans="1:7" x14ac:dyDescent="0.2">
      <c r="A237" t="s">
        <v>628</v>
      </c>
      <c r="B237" t="s">
        <v>687</v>
      </c>
      <c r="C237">
        <v>12.5749018062397</v>
      </c>
      <c r="D237">
        <v>76.815700985221696</v>
      </c>
      <c r="E237">
        <f t="shared" si="6"/>
        <v>1548.8465858214124</v>
      </c>
      <c r="F237" s="34">
        <f t="shared" si="7"/>
        <v>227.13736664810506</v>
      </c>
      <c r="G237" t="str" cm="1">
        <f t="array" ref="G237">IFERROR(
  _xlfn.IFS(F237="Current City","No Direction",
    OR(F237&gt;=337.5,F237&lt;22.5),"N",
    F237&lt;67.5,"NE",
    F237&lt;112.5,"E",
    F237&lt;157.5,"SE",
    F237&lt;202.5,"S",
    F237&lt;247.5,"SW",
    F237&lt;292.5,"W",
    F237&lt;337.5,"NW"
  ), "No Direction"
)</f>
        <v>SW</v>
      </c>
    </row>
    <row r="238" spans="1:7" x14ac:dyDescent="0.2">
      <c r="A238" t="s">
        <v>628</v>
      </c>
      <c r="B238" t="s">
        <v>690</v>
      </c>
      <c r="C238">
        <v>12.2481002594033</v>
      </c>
      <c r="D238">
        <v>76.528818028534303</v>
      </c>
      <c r="E238">
        <f t="shared" si="6"/>
        <v>1596.6323831275802</v>
      </c>
      <c r="F238" s="34">
        <f t="shared" si="7"/>
        <v>227.03582628447131</v>
      </c>
      <c r="G238" t="str" cm="1">
        <f t="array" ref="G238">IFERROR(
  _xlfn.IFS(F238="Current City","No Direction",
    OR(F238&gt;=337.5,F238&lt;22.5),"N",
    F238&lt;67.5,"NE",
    F238&lt;112.5,"E",
    F238&lt;157.5,"SE",
    F238&lt;202.5,"S",
    F238&lt;247.5,"SW",
    F238&lt;292.5,"W",
    F238&lt;337.5,"NW"
  ), "No Direction"
)</f>
        <v>SW</v>
      </c>
    </row>
    <row r="239" spans="1:7" x14ac:dyDescent="0.2">
      <c r="A239" t="s">
        <v>628</v>
      </c>
      <c r="B239" t="s">
        <v>693</v>
      </c>
      <c r="C239">
        <v>16.050795353982199</v>
      </c>
      <c r="D239">
        <v>76.873686061946799</v>
      </c>
      <c r="E239">
        <f t="shared" si="6"/>
        <v>1293.1665281047008</v>
      </c>
      <c r="F239" s="34">
        <f t="shared" si="7"/>
        <v>238.99167715242595</v>
      </c>
      <c r="G239" t="str" cm="1">
        <f t="array" ref="G239">IFERROR(
  _xlfn.IFS(F239="Current City","No Direction",
    OR(F239&gt;=337.5,F239&lt;22.5),"N",
    F239&lt;67.5,"NE",
    F239&lt;112.5,"E",
    F239&lt;157.5,"SE",
    F239&lt;202.5,"S",
    F239&lt;247.5,"SW",
    F239&lt;292.5,"W",
    F239&lt;337.5,"NW"
  ), "No Direction"
)</f>
        <v>SW</v>
      </c>
    </row>
    <row r="240" spans="1:7" x14ac:dyDescent="0.2">
      <c r="A240" t="s">
        <v>628</v>
      </c>
      <c r="B240" t="s">
        <v>696</v>
      </c>
      <c r="C240">
        <v>14.0638458856345</v>
      </c>
      <c r="D240">
        <v>75.178820781031902</v>
      </c>
      <c r="E240">
        <f t="shared" si="6"/>
        <v>1570.4166090042377</v>
      </c>
      <c r="F240" s="34">
        <f t="shared" si="7"/>
        <v>236.10672403248503</v>
      </c>
      <c r="G240" t="str" cm="1">
        <f t="array" ref="G240">IFERROR(
  _xlfn.IFS(F240="Current City","No Direction",
    OR(F240&gt;=337.5,F240&lt;22.5),"N",
    F240&lt;67.5,"NE",
    F240&lt;112.5,"E",
    F240&lt;157.5,"SE",
    F240&lt;202.5,"S",
    F240&lt;247.5,"SW",
    F240&lt;292.5,"W",
    F240&lt;337.5,"NW"
  ), "No Direction"
)</f>
        <v>SW</v>
      </c>
    </row>
    <row r="241" spans="1:7" x14ac:dyDescent="0.2">
      <c r="A241" t="s">
        <v>628</v>
      </c>
      <c r="B241" t="s">
        <v>699</v>
      </c>
      <c r="C241">
        <v>13.5924677600749</v>
      </c>
      <c r="D241">
        <v>77.022979662605394</v>
      </c>
      <c r="E241">
        <f t="shared" si="6"/>
        <v>1453.193551675867</v>
      </c>
      <c r="F241" s="34">
        <f t="shared" si="7"/>
        <v>229.62278682397698</v>
      </c>
      <c r="G241" t="str" cm="1">
        <f t="array" ref="G241">IFERROR(
  _xlfn.IFS(F241="Current City","No Direction",
    OR(F241&gt;=337.5,F241&lt;22.5),"N",
    F241&lt;67.5,"NE",
    F241&lt;112.5,"E",
    F241&lt;157.5,"SE",
    F241&lt;202.5,"S",
    F241&lt;247.5,"SW",
    F241&lt;292.5,"W",
    F241&lt;337.5,"NW"
  ), "No Direction"
)</f>
        <v>SW</v>
      </c>
    </row>
    <row r="242" spans="1:7" x14ac:dyDescent="0.2">
      <c r="A242" t="s">
        <v>628</v>
      </c>
      <c r="B242" t="s">
        <v>702</v>
      </c>
      <c r="C242">
        <v>13.4504042285345</v>
      </c>
      <c r="D242">
        <v>74.720099903163302</v>
      </c>
      <c r="E242">
        <f t="shared" si="6"/>
        <v>1651.5108590828092</v>
      </c>
      <c r="F242" s="34">
        <f t="shared" si="7"/>
        <v>235.27798536813975</v>
      </c>
      <c r="G242" t="str" cm="1">
        <f t="array" ref="G242">IFERROR(
  _xlfn.IFS(F242="Current City","No Direction",
    OR(F242&gt;=337.5,F242&lt;22.5),"N",
    F242&lt;67.5,"NE",
    F242&lt;112.5,"E",
    F242&lt;157.5,"SE",
    F242&lt;202.5,"S",
    F242&lt;247.5,"SW",
    F242&lt;292.5,"W",
    F242&lt;337.5,"NW"
  ), "No Direction"
)</f>
        <v>SW</v>
      </c>
    </row>
    <row r="243" spans="1:7" x14ac:dyDescent="0.2">
      <c r="A243" t="s">
        <v>628</v>
      </c>
      <c r="B243" t="s">
        <v>705</v>
      </c>
      <c r="C243">
        <v>14.5389579762442</v>
      </c>
      <c r="D243">
        <v>74.352290813411102</v>
      </c>
      <c r="E243">
        <f t="shared" si="6"/>
        <v>1611.2563869662545</v>
      </c>
      <c r="F243" s="34">
        <f t="shared" si="7"/>
        <v>239.57046366801995</v>
      </c>
      <c r="G243" t="str" cm="1">
        <f t="array" ref="G243">IFERROR(
  _xlfn.IFS(F243="Current City","No Direction",
    OR(F243&gt;=337.5,F243&lt;22.5),"N",
    F243&lt;67.5,"NE",
    F243&lt;112.5,"E",
    F243&lt;157.5,"SE",
    F243&lt;202.5,"S",
    F243&lt;247.5,"SW",
    F243&lt;292.5,"W",
    F243&lt;337.5,"NW"
  ), "No Direction"
)</f>
        <v>SW</v>
      </c>
    </row>
    <row r="244" spans="1:7" x14ac:dyDescent="0.2">
      <c r="A244" t="s">
        <v>708</v>
      </c>
      <c r="B244" t="s">
        <v>709</v>
      </c>
      <c r="C244">
        <v>9.5426029655990803</v>
      </c>
      <c r="D244">
        <v>76.380107962633105</v>
      </c>
      <c r="E244">
        <f t="shared" si="6"/>
        <v>1835.2774387508894</v>
      </c>
      <c r="F244" s="34">
        <f t="shared" si="7"/>
        <v>220.80329929730325</v>
      </c>
      <c r="G244" t="str" cm="1">
        <f t="array" ref="G244">IFERROR(
  _xlfn.IFS(F244="Current City","No Direction",
    OR(F244&gt;=337.5,F244&lt;22.5),"N",
    F244&lt;67.5,"NE",
    F244&lt;112.5,"E",
    F244&lt;157.5,"SE",
    F244&lt;202.5,"S",
    F244&lt;247.5,"SW",
    F244&lt;292.5,"W",
    F244&lt;337.5,"NW"
  ), "No Direction"
)</f>
        <v>SW</v>
      </c>
    </row>
    <row r="245" spans="1:7" x14ac:dyDescent="0.2">
      <c r="A245" t="s">
        <v>708</v>
      </c>
      <c r="B245" t="s">
        <v>712</v>
      </c>
      <c r="C245">
        <v>10.004879301987399</v>
      </c>
      <c r="D245">
        <v>76.269577290353794</v>
      </c>
      <c r="E245">
        <f t="shared" si="6"/>
        <v>1802.5291957521385</v>
      </c>
      <c r="F245" s="34">
        <f t="shared" si="7"/>
        <v>222.12635105910829</v>
      </c>
      <c r="G245" t="str" cm="1">
        <f t="array" ref="G245">IFERROR(
  _xlfn.IFS(F245="Current City","No Direction",
    OR(F245&gt;=337.5,F245&lt;22.5),"N",
    F245&lt;67.5,"NE",
    F245&lt;112.5,"E",
    F245&lt;157.5,"SE",
    F245&lt;202.5,"S",
    F245&lt;247.5,"SW",
    F245&lt;292.5,"W",
    F245&lt;337.5,"NW"
  ), "No Direction"
)</f>
        <v>SW</v>
      </c>
    </row>
    <row r="246" spans="1:7" x14ac:dyDescent="0.2">
      <c r="A246" t="s">
        <v>708</v>
      </c>
      <c r="B246" t="s">
        <v>715</v>
      </c>
      <c r="C246">
        <v>9.8048096385542305</v>
      </c>
      <c r="D246">
        <v>77.045866415662601</v>
      </c>
      <c r="E246">
        <f t="shared" si="6"/>
        <v>1767.9111796577613</v>
      </c>
      <c r="F246" s="34">
        <f t="shared" si="7"/>
        <v>219.49884646786194</v>
      </c>
      <c r="G246" t="str" cm="1">
        <f t="array" ref="G246">IFERROR(
  _xlfn.IFS(F246="Current City","No Direction",
    OR(F246&gt;=337.5,F246&lt;22.5),"N",
    F246&lt;67.5,"NE",
    F246&lt;112.5,"E",
    F246&lt;157.5,"SE",
    F246&lt;202.5,"S",
    F246&lt;247.5,"SW",
    F246&lt;292.5,"W",
    F246&lt;337.5,"NW"
  ), "No Direction"
)</f>
        <v>SW</v>
      </c>
    </row>
    <row r="247" spans="1:7" x14ac:dyDescent="0.2">
      <c r="A247" t="s">
        <v>708</v>
      </c>
      <c r="B247" t="s">
        <v>717</v>
      </c>
      <c r="C247">
        <v>11.941523076923</v>
      </c>
      <c r="D247">
        <v>75.352098917259298</v>
      </c>
      <c r="E247">
        <f t="shared" si="6"/>
        <v>1711.0396365578945</v>
      </c>
      <c r="F247" s="34">
        <f t="shared" si="7"/>
        <v>229.37242027472527</v>
      </c>
      <c r="G247" t="str" cm="1">
        <f t="array" ref="G247">IFERROR(
  _xlfn.IFS(F247="Current City","No Direction",
    OR(F247&gt;=337.5,F247&lt;22.5),"N",
    F247&lt;67.5,"NE",
    F247&lt;112.5,"E",
    F247&lt;157.5,"SE",
    F247&lt;202.5,"S",
    F247&lt;247.5,"SW",
    F247&lt;292.5,"W",
    F247&lt;337.5,"NW"
  ), "No Direction"
)</f>
        <v>SW</v>
      </c>
    </row>
    <row r="248" spans="1:7" x14ac:dyDescent="0.2">
      <c r="A248" t="s">
        <v>708</v>
      </c>
      <c r="B248" t="s">
        <v>720</v>
      </c>
      <c r="C248">
        <v>12.333103099129699</v>
      </c>
      <c r="D248">
        <v>75.077684971343601</v>
      </c>
      <c r="E248">
        <f t="shared" si="6"/>
        <v>1702.8595006088128</v>
      </c>
      <c r="F248" s="34">
        <f t="shared" si="7"/>
        <v>231.14384208574214</v>
      </c>
      <c r="G248" t="str" cm="1">
        <f t="array" ref="G248">IFERROR(
  _xlfn.IFS(F248="Current City","No Direction",
    OR(F248&gt;=337.5,F248&lt;22.5),"N",
    F248&lt;67.5,"NE",
    F248&lt;112.5,"E",
    F248&lt;157.5,"SE",
    F248&lt;202.5,"S",
    F248&lt;247.5,"SW",
    F248&lt;292.5,"W",
    F248&lt;337.5,"NW"
  ), "No Direction"
)</f>
        <v>SW</v>
      </c>
    </row>
    <row r="249" spans="1:7" x14ac:dyDescent="0.2">
      <c r="A249" t="s">
        <v>708</v>
      </c>
      <c r="B249" t="s">
        <v>723</v>
      </c>
      <c r="C249">
        <v>8.9293888205701499</v>
      </c>
      <c r="D249">
        <v>76.6360775852431</v>
      </c>
      <c r="E249">
        <f t="shared" si="6"/>
        <v>1872.9826136945055</v>
      </c>
      <c r="F249" s="34">
        <f t="shared" si="7"/>
        <v>218.81665882971731</v>
      </c>
      <c r="G249" t="str" cm="1">
        <f t="array" ref="G249">IFERROR(
  _xlfn.IFS(F249="Current City","No Direction",
    OR(F249&gt;=337.5,F249&lt;22.5),"N",
    F249&lt;67.5,"NE",
    F249&lt;112.5,"E",
    F249&lt;157.5,"SE",
    F249&lt;202.5,"S",
    F249&lt;247.5,"SW",
    F249&lt;292.5,"W",
    F249&lt;337.5,"NW"
  ), "No Direction"
)</f>
        <v>SW</v>
      </c>
    </row>
    <row r="250" spans="1:7" x14ac:dyDescent="0.2">
      <c r="A250" t="s">
        <v>708</v>
      </c>
      <c r="B250" t="s">
        <v>725</v>
      </c>
      <c r="C250">
        <v>9.6437011740684095</v>
      </c>
      <c r="D250">
        <v>76.460596733027003</v>
      </c>
      <c r="E250">
        <f t="shared" si="6"/>
        <v>1820.9860526196887</v>
      </c>
      <c r="F250" s="34">
        <f t="shared" si="7"/>
        <v>220.80066633992902</v>
      </c>
      <c r="G250" t="str" cm="1">
        <f t="array" ref="G250">IFERROR(
  _xlfn.IFS(F250="Current City","No Direction",
    OR(F250&gt;=337.5,F250&lt;22.5),"N",
    F250&lt;67.5,"NE",
    F250&lt;112.5,"E",
    F250&lt;157.5,"SE",
    F250&lt;202.5,"S",
    F250&lt;247.5,"SW",
    F250&lt;292.5,"W",
    F250&lt;337.5,"NW"
  ), "No Direction"
)</f>
        <v>SW</v>
      </c>
    </row>
    <row r="251" spans="1:7" x14ac:dyDescent="0.2">
      <c r="A251" t="s">
        <v>708</v>
      </c>
      <c r="B251" t="s">
        <v>728</v>
      </c>
      <c r="C251">
        <v>11.392924270557</v>
      </c>
      <c r="D251">
        <v>75.711587201591499</v>
      </c>
      <c r="E251">
        <f t="shared" si="6"/>
        <v>1726.8294639803262</v>
      </c>
      <c r="F251" s="34">
        <f t="shared" si="7"/>
        <v>226.98541717899946</v>
      </c>
      <c r="G251" t="str" cm="1">
        <f t="array" ref="G251">IFERROR(
  _xlfn.IFS(F251="Current City","No Direction",
    OR(F251&gt;=337.5,F251&lt;22.5),"N",
    F251&lt;67.5,"NE",
    F251&lt;112.5,"E",
    F251&lt;157.5,"SE",
    F251&lt;202.5,"S",
    F251&lt;247.5,"SW",
    F251&lt;292.5,"W",
    F251&lt;337.5,"NW"
  ), "No Direction"
)</f>
        <v>SW</v>
      </c>
    </row>
    <row r="252" spans="1:7" x14ac:dyDescent="0.2">
      <c r="A252" t="s">
        <v>708</v>
      </c>
      <c r="B252" t="s">
        <v>731</v>
      </c>
      <c r="C252">
        <v>10.9732987566607</v>
      </c>
      <c r="D252">
        <v>75.939107756068694</v>
      </c>
      <c r="E252">
        <f t="shared" si="6"/>
        <v>1744.174319508277</v>
      </c>
      <c r="F252" s="34">
        <f t="shared" si="7"/>
        <v>225.31662676890596</v>
      </c>
      <c r="G252" t="str" cm="1">
        <f t="array" ref="G252">IFERROR(
  _xlfn.IFS(F252="Current City","No Direction",
    OR(F252&gt;=337.5,F252&lt;22.5),"N",
    F252&lt;67.5,"NE",
    F252&lt;112.5,"E",
    F252&lt;157.5,"SE",
    F252&lt;202.5,"S",
    F252&lt;247.5,"SW",
    F252&lt;292.5,"W",
    F252&lt;337.5,"NW"
  ), "No Direction"
)</f>
        <v>SW</v>
      </c>
    </row>
    <row r="253" spans="1:7" x14ac:dyDescent="0.2">
      <c r="A253" t="s">
        <v>708</v>
      </c>
      <c r="B253" t="s">
        <v>734</v>
      </c>
      <c r="C253">
        <v>10.784926903553201</v>
      </c>
      <c r="D253">
        <v>76.499804906937399</v>
      </c>
      <c r="E253">
        <f t="shared" si="6"/>
        <v>1719.6647308057741</v>
      </c>
      <c r="F253" s="34">
        <f t="shared" si="7"/>
        <v>223.31061718471221</v>
      </c>
      <c r="G253" t="str" cm="1">
        <f t="array" ref="G253">IFERROR(
  _xlfn.IFS(F253="Current City","No Direction",
    OR(F253&gt;=337.5,F253&lt;22.5),"N",
    F253&lt;67.5,"NE",
    F253&lt;112.5,"E",
    F253&lt;157.5,"SE",
    F253&lt;202.5,"S",
    F253&lt;247.5,"SW",
    F253&lt;292.5,"W",
    F253&lt;337.5,"NW"
  ), "No Direction"
)</f>
        <v>SW</v>
      </c>
    </row>
    <row r="254" spans="1:7" x14ac:dyDescent="0.2">
      <c r="A254" t="s">
        <v>708</v>
      </c>
      <c r="B254" t="s">
        <v>737</v>
      </c>
      <c r="C254">
        <v>9.2913123931624</v>
      </c>
      <c r="D254">
        <v>76.8641232905983</v>
      </c>
      <c r="E254">
        <f t="shared" si="6"/>
        <v>1825.7078325962452</v>
      </c>
      <c r="F254" s="34">
        <f t="shared" si="7"/>
        <v>218.92350489594799</v>
      </c>
      <c r="G254" t="str" cm="1">
        <f t="array" ref="G254">IFERROR(
  _xlfn.IFS(F254="Current City","No Direction",
    OR(F254&gt;=337.5,F254&lt;22.5),"N",
    F254&lt;67.5,"NE",
    F254&lt;112.5,"E",
    F254&lt;157.5,"SE",
    F254&lt;202.5,"S",
    F254&lt;247.5,"SW",
    F254&lt;292.5,"W",
    F254&lt;337.5,"NW"
  ), "No Direction"
)</f>
        <v>SW</v>
      </c>
    </row>
    <row r="255" spans="1:7" x14ac:dyDescent="0.2">
      <c r="A255" t="s">
        <v>708</v>
      </c>
      <c r="B255" t="s">
        <v>740</v>
      </c>
      <c r="C255">
        <v>8.5371017590822191</v>
      </c>
      <c r="D255">
        <v>76.887115028680697</v>
      </c>
      <c r="E255">
        <f t="shared" si="6"/>
        <v>1892.6850280775159</v>
      </c>
      <c r="F255" s="34">
        <f t="shared" si="7"/>
        <v>217.34355745133789</v>
      </c>
      <c r="G255" t="str" cm="1">
        <f t="array" ref="G255">IFERROR(
  _xlfn.IFS(F255="Current City","No Direction",
    OR(F255&gt;=337.5,F255&lt;22.5),"N",
    F255&lt;67.5,"NE",
    F255&lt;112.5,"E",
    F255&lt;157.5,"SE",
    F255&lt;202.5,"S",
    F255&lt;247.5,"SW",
    F255&lt;292.5,"W",
    F255&lt;337.5,"NW"
  ), "No Direction"
)</f>
        <v>SW</v>
      </c>
    </row>
    <row r="256" spans="1:7" x14ac:dyDescent="0.2">
      <c r="A256" t="s">
        <v>708</v>
      </c>
      <c r="B256" t="s">
        <v>743</v>
      </c>
      <c r="C256">
        <v>10.4589326479076</v>
      </c>
      <c r="D256">
        <v>76.123219408369394</v>
      </c>
      <c r="E256">
        <f t="shared" si="6"/>
        <v>1773.9330776978857</v>
      </c>
      <c r="F256" s="34">
        <f t="shared" si="7"/>
        <v>223.57389258188536</v>
      </c>
      <c r="G256" t="str" cm="1">
        <f t="array" ref="G256">IFERROR(
  _xlfn.IFS(F256="Current City","No Direction",
    OR(F256&gt;=337.5,F256&lt;22.5),"N",
    F256&lt;67.5,"NE",
    F256&lt;112.5,"E",
    F256&lt;157.5,"SE",
    F256&lt;202.5,"S",
    F256&lt;247.5,"SW",
    F256&lt;292.5,"W",
    F256&lt;337.5,"NW"
  ), "No Direction"
)</f>
        <v>SW</v>
      </c>
    </row>
    <row r="257" spans="1:7" x14ac:dyDescent="0.2">
      <c r="A257" t="s">
        <v>708</v>
      </c>
      <c r="B257" t="s">
        <v>746</v>
      </c>
      <c r="C257">
        <v>11.7152774647887</v>
      </c>
      <c r="D257">
        <v>76.075870070422496</v>
      </c>
      <c r="E257">
        <f t="shared" si="6"/>
        <v>1673.50525750372</v>
      </c>
      <c r="F257" s="34">
        <f t="shared" si="7"/>
        <v>226.84786183498966</v>
      </c>
      <c r="G257" t="str" cm="1">
        <f t="array" ref="G257">IFERROR(
  _xlfn.IFS(F257="Current City","No Direction",
    OR(F257&gt;=337.5,F257&lt;22.5),"N",
    F257&lt;67.5,"NE",
    F257&lt;112.5,"E",
    F257&lt;157.5,"SE",
    F257&lt;202.5,"S",
    F257&lt;247.5,"SW",
    F257&lt;292.5,"W",
    F257&lt;337.5,"NW"
  ), "No Direction"
)</f>
        <v>SW</v>
      </c>
    </row>
    <row r="258" spans="1:7" x14ac:dyDescent="0.2">
      <c r="A258" t="s">
        <v>749</v>
      </c>
      <c r="B258" t="s">
        <v>750</v>
      </c>
      <c r="C258">
        <v>10.4363905266015</v>
      </c>
      <c r="D258">
        <v>72.829927442996706</v>
      </c>
      <c r="E258">
        <f t="shared" ref="E258:E321" si="8">2*6371*ASIN(SQRT(
    SIN(RADIANS(C258-$M$7)/2)^2 +
    COS(RADIANS($M$7)) * COS(RADIANS(C258)) *
    SIN(RADIANS(D258-$M$8)/2)^2
))</f>
        <v>2025.9711154634292</v>
      </c>
      <c r="F258" s="34">
        <f t="shared" si="7"/>
        <v>231.47012659534775</v>
      </c>
      <c r="G258" t="str" cm="1">
        <f t="array" ref="G258">IFERROR(
  _xlfn.IFS(F258="Current City","No Direction",
    OR(F258&gt;=337.5,F258&lt;22.5),"N",
    F258&lt;67.5,"NE",
    F258&lt;112.5,"E",
    F258&lt;157.5,"SE",
    F258&lt;202.5,"S",
    F258&lt;247.5,"SW",
    F258&lt;292.5,"W",
    F258&lt;337.5,"NW"
  ), "No Direction"
)</f>
        <v>SW</v>
      </c>
    </row>
    <row r="259" spans="1:7" x14ac:dyDescent="0.2">
      <c r="A259" t="s">
        <v>753</v>
      </c>
      <c r="B259" t="s">
        <v>754</v>
      </c>
      <c r="C259">
        <v>23.181842204300999</v>
      </c>
      <c r="D259">
        <v>81.865600000000001</v>
      </c>
      <c r="E259">
        <f t="shared" si="8"/>
        <v>557.71247270197807</v>
      </c>
      <c r="F259" s="34">
        <f t="shared" ref="F259:F322" si="9">IFERROR(MOD(DEGREES(ATAN2(COS(RADIANS($M$7))*SIN(RADIANS(C259))-SIN(RADIANS($M$7))*COS(RADIANS(C259))*COS(RADIANS(D259-$M$8)), SIN(RADIANS(D259-$M$8))*COS(RADIANS(C259))))+360, 360),"Current City")</f>
        <v>280.52127144828961</v>
      </c>
      <c r="G259" t="str" cm="1">
        <f t="array" ref="G259">IFERROR(
  _xlfn.IFS(F259="Current City","No Direction",
    OR(F259&gt;=337.5,F259&lt;22.5),"N",
    F259&lt;67.5,"NE",
    F259&lt;112.5,"E",
    F259&lt;157.5,"SE",
    F259&lt;202.5,"S",
    F259&lt;247.5,"SW",
    F259&lt;292.5,"W",
    F259&lt;337.5,"NW"
  ), "No Direction"
)</f>
        <v>W</v>
      </c>
    </row>
    <row r="260" spans="1:7" x14ac:dyDescent="0.2">
      <c r="A260" t="s">
        <v>753</v>
      </c>
      <c r="B260" t="s">
        <v>757</v>
      </c>
      <c r="C260">
        <v>24.630988461538401</v>
      </c>
      <c r="D260">
        <v>77.829744939271293</v>
      </c>
      <c r="E260">
        <f t="shared" si="8"/>
        <v>991.30402709359578</v>
      </c>
      <c r="F260" s="34">
        <f t="shared" si="9"/>
        <v>286.6330545908703</v>
      </c>
      <c r="G260" t="str" cm="1">
        <f t="array" ref="G260">IFERROR(
  _xlfn.IFS(F260="Current City","No Direction",
    OR(F260&gt;=337.5,F260&lt;22.5),"N",
    F260&lt;67.5,"NE",
    F260&lt;112.5,"E",
    F260&lt;157.5,"SE",
    F260&lt;202.5,"S",
    F260&lt;247.5,"SW",
    F260&lt;292.5,"W",
    F260&lt;337.5,"NW"
  ), "No Direction"
)</f>
        <v>W</v>
      </c>
    </row>
    <row r="261" spans="1:7" x14ac:dyDescent="0.2">
      <c r="A261" t="s">
        <v>753</v>
      </c>
      <c r="B261" t="s">
        <v>760</v>
      </c>
      <c r="C261">
        <v>21.800207206405599</v>
      </c>
      <c r="D261">
        <v>80.421700533807893</v>
      </c>
      <c r="E261">
        <f t="shared" si="8"/>
        <v>704.28653370047698</v>
      </c>
      <c r="F261" s="34">
        <f t="shared" si="9"/>
        <v>266.26315899241575</v>
      </c>
      <c r="G261" t="str" cm="1">
        <f t="array" ref="G261">IFERROR(
  _xlfn.IFS(F261="Current City","No Direction",
    OR(F261&gt;=337.5,F261&lt;22.5),"N",
    F261&lt;67.5,"NE",
    F261&lt;112.5,"E",
    F261&lt;157.5,"SE",
    F261&lt;202.5,"S",
    F261&lt;247.5,"SW",
    F261&lt;292.5,"W",
    F261&lt;337.5,"NW"
  ), "No Direction"
)</f>
        <v>W</v>
      </c>
    </row>
    <row r="262" spans="1:7" x14ac:dyDescent="0.2">
      <c r="A262" t="s">
        <v>753</v>
      </c>
      <c r="B262" t="s">
        <v>763</v>
      </c>
      <c r="C262">
        <v>21.702135714285699</v>
      </c>
      <c r="D262">
        <v>74.910047197106707</v>
      </c>
      <c r="E262">
        <f t="shared" si="8"/>
        <v>1271.7304219307457</v>
      </c>
      <c r="F262" s="34">
        <f t="shared" si="9"/>
        <v>269.05991519424072</v>
      </c>
      <c r="G262" t="str" cm="1">
        <f t="array" ref="G262">IFERROR(
  _xlfn.IFS(F262="Current City","No Direction",
    OR(F262&gt;=337.5,F262&lt;22.5),"N",
    F262&lt;67.5,"NE",
    F262&lt;112.5,"E",
    F262&lt;157.5,"SE",
    F262&lt;202.5,"S",
    F262&lt;247.5,"SW",
    F262&lt;292.5,"W",
    F262&lt;337.5,"NW"
  ), "No Direction"
)</f>
        <v>W</v>
      </c>
    </row>
    <row r="263" spans="1:7" x14ac:dyDescent="0.2">
      <c r="A263" t="s">
        <v>753</v>
      </c>
      <c r="B263" t="s">
        <v>766</v>
      </c>
      <c r="C263">
        <v>21.964626315789399</v>
      </c>
      <c r="D263">
        <v>77.787342818911696</v>
      </c>
      <c r="E263">
        <f t="shared" si="8"/>
        <v>973.33243435457291</v>
      </c>
      <c r="F263" s="34">
        <f t="shared" si="9"/>
        <v>269.23532656010684</v>
      </c>
      <c r="G263" t="str" cm="1">
        <f t="array" ref="G263">IFERROR(
  _xlfn.IFS(F263="Current City","No Direction",
    OR(F263&gt;=337.5,F263&lt;22.5),"N",
    F263&lt;67.5,"NE",
    F263&lt;112.5,"E",
    F263&lt;157.5,"SE",
    F263&lt;202.5,"S",
    F263&lt;247.5,"SW",
    F263&lt;292.5,"W",
    F263&lt;337.5,"NW"
  ), "No Direction"
)</f>
        <v>W</v>
      </c>
    </row>
    <row r="264" spans="1:7" x14ac:dyDescent="0.2">
      <c r="A264" t="s">
        <v>753</v>
      </c>
      <c r="B264" t="s">
        <v>768</v>
      </c>
      <c r="C264">
        <v>26.359511261872399</v>
      </c>
      <c r="D264">
        <v>78.761832428765302</v>
      </c>
      <c r="E264">
        <f t="shared" si="8"/>
        <v>966.21954961704591</v>
      </c>
      <c r="F264" s="34">
        <f t="shared" si="9"/>
        <v>299.13403299577055</v>
      </c>
      <c r="G264" t="str" cm="1">
        <f t="array" ref="G264">IFERROR(
  _xlfn.IFS(F264="Current City","No Direction",
    OR(F264&gt;=337.5,F264&lt;22.5),"N",
    F264&lt;67.5,"NE",
    F264&lt;112.5,"E",
    F264&lt;157.5,"SE",
    F264&lt;202.5,"S",
    F264&lt;247.5,"SW",
    F264&lt;292.5,"W",
    F264&lt;337.5,"NW"
  ), "No Direction"
)</f>
        <v>NW</v>
      </c>
    </row>
    <row r="265" spans="1:7" x14ac:dyDescent="0.2">
      <c r="A265" t="s">
        <v>753</v>
      </c>
      <c r="B265" t="s">
        <v>770</v>
      </c>
      <c r="C265">
        <v>23.4807261437908</v>
      </c>
      <c r="D265">
        <v>77.392466230936705</v>
      </c>
      <c r="E265">
        <f t="shared" si="8"/>
        <v>1015.1765003428895</v>
      </c>
      <c r="F265" s="34">
        <f t="shared" si="9"/>
        <v>278.98434146498653</v>
      </c>
      <c r="G265" t="str" cm="1">
        <f t="array" ref="G265">IFERROR(
  _xlfn.IFS(F265="Current City","No Direction",
    OR(F265&gt;=337.5,F265&lt;22.5),"N",
    F265&lt;67.5,"NE",
    F265&lt;112.5,"E",
    F265&lt;157.5,"SE",
    F265&lt;202.5,"S",
    F265&lt;247.5,"SW",
    F265&lt;292.5,"W",
    F265&lt;337.5,"NW"
  ), "No Direction"
)</f>
        <v>W</v>
      </c>
    </row>
    <row r="266" spans="1:7" x14ac:dyDescent="0.2">
      <c r="A266" t="s">
        <v>753</v>
      </c>
      <c r="B266" t="s">
        <v>773</v>
      </c>
      <c r="C266">
        <v>21.364567254408001</v>
      </c>
      <c r="D266">
        <v>76.244604785894197</v>
      </c>
      <c r="E266">
        <f t="shared" si="8"/>
        <v>1138.8692052169758</v>
      </c>
      <c r="F266" s="34">
        <f t="shared" si="9"/>
        <v>266.52033571174121</v>
      </c>
      <c r="G266" t="str" cm="1">
        <f t="array" ref="G266">IFERROR(
  _xlfn.IFS(F266="Current City","No Direction",
    OR(F266&gt;=337.5,F266&lt;22.5),"N",
    F266&lt;67.5,"NE",
    F266&lt;112.5,"E",
    F266&lt;157.5,"SE",
    F266&lt;202.5,"S",
    F266&lt;247.5,"SW",
    F266&lt;292.5,"W",
    F266&lt;337.5,"NW"
  ), "No Direction"
)</f>
        <v>W</v>
      </c>
    </row>
    <row r="267" spans="1:7" x14ac:dyDescent="0.2">
      <c r="A267" t="s">
        <v>753</v>
      </c>
      <c r="B267" t="s">
        <v>776</v>
      </c>
      <c r="C267">
        <v>24.813637376460001</v>
      </c>
      <c r="D267">
        <v>79.564492991913696</v>
      </c>
      <c r="E267">
        <f t="shared" si="8"/>
        <v>827.55151369058717</v>
      </c>
      <c r="F267" s="34">
        <f t="shared" si="9"/>
        <v>290.79495797650912</v>
      </c>
      <c r="G267" t="str" cm="1">
        <f t="array" ref="G267">IFERROR(
  _xlfn.IFS(F267="Current City","No Direction",
    OR(F267&gt;=337.5,F267&lt;22.5),"N",
    F267&lt;67.5,"NE",
    F267&lt;112.5,"E",
    F267&lt;157.5,"SE",
    F267&lt;202.5,"S",
    F267&lt;247.5,"SW",
    F267&lt;292.5,"W",
    F267&lt;337.5,"NW"
  ), "No Direction"
)</f>
        <v>W</v>
      </c>
    </row>
    <row r="268" spans="1:7" x14ac:dyDescent="0.2">
      <c r="A268" t="s">
        <v>753</v>
      </c>
      <c r="B268" t="s">
        <v>779</v>
      </c>
      <c r="C268">
        <v>22.227966971713801</v>
      </c>
      <c r="D268">
        <v>78.764131364392497</v>
      </c>
      <c r="E268">
        <f t="shared" si="8"/>
        <v>871.1145392329048</v>
      </c>
      <c r="F268" s="34">
        <f t="shared" si="9"/>
        <v>270.68178059238255</v>
      </c>
      <c r="G268" t="str" cm="1">
        <f t="array" ref="G268">IFERROR(
  _xlfn.IFS(F268="Current City","No Direction",
    OR(F268&gt;=337.5,F268&lt;22.5),"N",
    F268&lt;67.5,"NE",
    F268&lt;112.5,"E",
    F268&lt;157.5,"SE",
    F268&lt;202.5,"S",
    F268&lt;247.5,"SW",
    F268&lt;292.5,"W",
    F268&lt;337.5,"NW"
  ), "No Direction"
)</f>
        <v>W</v>
      </c>
    </row>
    <row r="269" spans="1:7" x14ac:dyDescent="0.2">
      <c r="A269" t="s">
        <v>753</v>
      </c>
      <c r="B269" t="s">
        <v>782</v>
      </c>
      <c r="C269">
        <v>23.766244079601901</v>
      </c>
      <c r="D269">
        <v>79.470493034825793</v>
      </c>
      <c r="E269">
        <f t="shared" si="8"/>
        <v>809.21402847387833</v>
      </c>
      <c r="F269" s="34">
        <f t="shared" si="9"/>
        <v>282.68584486250109</v>
      </c>
      <c r="G269" t="str" cm="1">
        <f t="array" ref="G269">IFERROR(
  _xlfn.IFS(F269="Current City","No Direction",
    OR(F269&gt;=337.5,F269&lt;22.5),"N",
    F269&lt;67.5,"NE",
    F269&lt;112.5,"E",
    F269&lt;157.5,"SE",
    F269&lt;202.5,"S",
    F269&lt;247.5,"SW",
    F269&lt;292.5,"W",
    F269&lt;337.5,"NW"
  ), "No Direction"
)</f>
        <v>W</v>
      </c>
    </row>
    <row r="270" spans="1:7" x14ac:dyDescent="0.2">
      <c r="A270" t="s">
        <v>753</v>
      </c>
      <c r="B270" t="s">
        <v>785</v>
      </c>
      <c r="C270">
        <v>25.902264395604401</v>
      </c>
      <c r="D270">
        <v>78.639165714285696</v>
      </c>
      <c r="E270">
        <f t="shared" si="8"/>
        <v>956.645986234612</v>
      </c>
      <c r="F270" s="34">
        <f t="shared" si="9"/>
        <v>296.0580169675967</v>
      </c>
      <c r="G270" t="str" cm="1">
        <f t="array" ref="G270">IFERROR(
  _xlfn.IFS(F270="Current City","No Direction",
    OR(F270&gt;=337.5,F270&lt;22.5),"N",
    F270&lt;67.5,"NE",
    F270&lt;112.5,"E",
    F270&lt;157.5,"SE",
    F270&lt;202.5,"S",
    F270&lt;247.5,"SW",
    F270&lt;292.5,"W",
    F270&lt;337.5,"NW"
  ), "No Direction"
)</f>
        <v>NW</v>
      </c>
    </row>
    <row r="271" spans="1:7" x14ac:dyDescent="0.2">
      <c r="A271" t="s">
        <v>753</v>
      </c>
      <c r="B271" t="s">
        <v>788</v>
      </c>
      <c r="C271">
        <v>22.785111002132201</v>
      </c>
      <c r="D271">
        <v>76.460888059701503</v>
      </c>
      <c r="E271">
        <f t="shared" si="8"/>
        <v>1106.6519621495549</v>
      </c>
      <c r="F271" s="34">
        <f t="shared" si="9"/>
        <v>274.54174449295652</v>
      </c>
      <c r="G271" t="str" cm="1">
        <f t="array" ref="G271">IFERROR(
  _xlfn.IFS(F271="Current City","No Direction",
    OR(F271&gt;=337.5,F271&lt;22.5),"N",
    F271&lt;67.5,"NE",
    F271&lt;112.5,"E",
    F271&lt;157.5,"SE",
    F271&lt;202.5,"S",
    F271&lt;247.5,"SW",
    F271&lt;292.5,"W",
    F271&lt;337.5,"NW"
  ), "No Direction"
)</f>
        <v>W</v>
      </c>
    </row>
    <row r="272" spans="1:7" x14ac:dyDescent="0.2">
      <c r="A272" t="s">
        <v>753</v>
      </c>
      <c r="B272" t="s">
        <v>790</v>
      </c>
      <c r="C272">
        <v>22.5726817189631</v>
      </c>
      <c r="D272">
        <v>75.110562073669797</v>
      </c>
      <c r="E272">
        <f t="shared" si="8"/>
        <v>1245.3624753804588</v>
      </c>
      <c r="F272" s="34">
        <f t="shared" si="9"/>
        <v>273.43276098691967</v>
      </c>
      <c r="G272" t="str" cm="1">
        <f t="array" ref="G272">IFERROR(
  _xlfn.IFS(F272="Current City","No Direction",
    OR(F272&gt;=337.5,F272&lt;22.5),"N",
    F272&lt;67.5,"NE",
    F272&lt;112.5,"E",
    F272&lt;157.5,"SE",
    F272&lt;202.5,"S",
    F272&lt;247.5,"SW",
    F272&lt;292.5,"W",
    F272&lt;337.5,"NW"
  ), "No Direction"
)</f>
        <v>W</v>
      </c>
    </row>
    <row r="273" spans="1:7" x14ac:dyDescent="0.2">
      <c r="A273" t="s">
        <v>753</v>
      </c>
      <c r="B273" t="s">
        <v>792</v>
      </c>
      <c r="C273">
        <v>22.837384370477501</v>
      </c>
      <c r="D273">
        <v>81.043329667149095</v>
      </c>
      <c r="E273">
        <f t="shared" si="8"/>
        <v>637.43587248494407</v>
      </c>
      <c r="F273" s="34">
        <f t="shared" si="9"/>
        <v>276.01274516394744</v>
      </c>
      <c r="G273" t="str" cm="1">
        <f t="array" ref="G273">IFERROR(
  _xlfn.IFS(F273="Current City","No Direction",
    OR(F273&gt;=337.5,F273&lt;22.5),"N",
    F273&lt;67.5,"NE",
    F273&lt;112.5,"E",
    F273&lt;157.5,"SE",
    F273&lt;202.5,"S",
    F273&lt;247.5,"SW",
    F273&lt;292.5,"W",
    F273&lt;337.5,"NW"
  ), "No Direction"
)</f>
        <v>W</v>
      </c>
    </row>
    <row r="274" spans="1:7" x14ac:dyDescent="0.2">
      <c r="A274" t="s">
        <v>753</v>
      </c>
      <c r="B274" t="s">
        <v>795</v>
      </c>
      <c r="C274">
        <v>22.098985600706602</v>
      </c>
      <c r="D274">
        <v>76.558055035335499</v>
      </c>
      <c r="E274">
        <f t="shared" si="8"/>
        <v>1098.7319690362926</v>
      </c>
      <c r="F274" s="34">
        <f t="shared" si="9"/>
        <v>270.54421699362535</v>
      </c>
      <c r="G274" t="str" cm="1">
        <f t="array" ref="G274">IFERROR(
  _xlfn.IFS(F274="Current City","No Direction",
    OR(F274&gt;=337.5,F274&lt;22.5),"N",
    F274&lt;67.5,"NE",
    F274&lt;112.5,"E",
    F274&lt;157.5,"SE",
    F274&lt;202.5,"S",
    F274&lt;247.5,"SW",
    F274&lt;292.5,"W",
    F274&lt;337.5,"NW"
  ), "No Direction"
)</f>
        <v>W</v>
      </c>
    </row>
    <row r="275" spans="1:7" x14ac:dyDescent="0.2">
      <c r="A275" t="s">
        <v>753</v>
      </c>
      <c r="B275" t="s">
        <v>798</v>
      </c>
      <c r="C275">
        <v>24.490439271781501</v>
      </c>
      <c r="D275">
        <v>77.223589596879094</v>
      </c>
      <c r="E275">
        <f t="shared" si="8"/>
        <v>1048.0373951117774</v>
      </c>
      <c r="F275" s="34">
        <f t="shared" si="9"/>
        <v>285.05271157225167</v>
      </c>
      <c r="G275" t="str" cm="1">
        <f t="array" ref="G275">IFERROR(
  _xlfn.IFS(F275="Current City","No Direction",
    OR(F275&gt;=337.5,F275&lt;22.5),"N",
    F275&lt;67.5,"NE",
    F275&lt;112.5,"E",
    F275&lt;157.5,"SE",
    F275&lt;202.5,"S",
    F275&lt;247.5,"SW",
    F275&lt;292.5,"W",
    F275&lt;337.5,"NW"
  ), "No Direction"
)</f>
        <v>W</v>
      </c>
    </row>
    <row r="276" spans="1:7" x14ac:dyDescent="0.2">
      <c r="A276" t="s">
        <v>753</v>
      </c>
      <c r="B276" t="s">
        <v>800</v>
      </c>
      <c r="C276">
        <v>26.040744419642799</v>
      </c>
      <c r="D276">
        <v>78.1278243303571</v>
      </c>
      <c r="E276">
        <f t="shared" si="8"/>
        <v>1009.7845294691091</v>
      </c>
      <c r="F276" s="34">
        <f t="shared" si="9"/>
        <v>295.75788933001974</v>
      </c>
      <c r="G276" t="str" cm="1">
        <f t="array" ref="G276">IFERROR(
  _xlfn.IFS(F276="Current City","No Direction",
    OR(F276&gt;=337.5,F276&lt;22.5),"N",
    F276&lt;67.5,"NE",
    F276&lt;112.5,"E",
    F276&lt;157.5,"SE",
    F276&lt;202.5,"S",
    F276&lt;247.5,"SW",
    F276&lt;292.5,"W",
    F276&lt;337.5,"NW"
  ), "No Direction"
)</f>
        <v>NW</v>
      </c>
    </row>
    <row r="277" spans="1:7" x14ac:dyDescent="0.2">
      <c r="A277" t="s">
        <v>753</v>
      </c>
      <c r="B277" t="s">
        <v>803</v>
      </c>
      <c r="C277">
        <v>22.227659781121702</v>
      </c>
      <c r="D277">
        <v>77.070225718194294</v>
      </c>
      <c r="E277">
        <f t="shared" si="8"/>
        <v>1045.2910478762174</v>
      </c>
      <c r="F277" s="34">
        <f t="shared" si="9"/>
        <v>271.15805883916397</v>
      </c>
      <c r="G277" t="str" cm="1">
        <f t="array" ref="G277">IFERROR(
  _xlfn.IFS(F277="Current City","No Direction",
    OR(F277&gt;=337.5,F277&lt;22.5),"N",
    F277&lt;67.5,"NE",
    F277&lt;112.5,"E",
    F277&lt;157.5,"SE",
    F277&lt;202.5,"S",
    F277&lt;247.5,"SW",
    F277&lt;292.5,"W",
    F277&lt;337.5,"NW"
  ), "No Direction"
)</f>
        <v>W</v>
      </c>
    </row>
    <row r="278" spans="1:7" x14ac:dyDescent="0.2">
      <c r="A278" t="s">
        <v>753</v>
      </c>
      <c r="B278" t="s">
        <v>806</v>
      </c>
      <c r="C278">
        <v>22.595268801996699</v>
      </c>
      <c r="D278">
        <v>78.021680948419203</v>
      </c>
      <c r="E278">
        <f t="shared" si="8"/>
        <v>946.47900092226553</v>
      </c>
      <c r="F278" s="34">
        <f t="shared" si="9"/>
        <v>273.37800650992426</v>
      </c>
      <c r="G278" t="str" cm="1">
        <f t="array" ref="G278">IFERROR(
  _xlfn.IFS(F278="Current City","No Direction",
    OR(F278&gt;=337.5,F278&lt;22.5),"N",
    F278&lt;67.5,"NE",
    F278&lt;112.5,"E",
    F278&lt;157.5,"SE",
    F278&lt;202.5,"S",
    F278&lt;247.5,"SW",
    F278&lt;292.5,"W",
    F278&lt;337.5,"NW"
  ), "No Direction"
)</f>
        <v>W</v>
      </c>
    </row>
    <row r="279" spans="1:7" x14ac:dyDescent="0.2">
      <c r="A279" t="s">
        <v>753</v>
      </c>
      <c r="B279" t="s">
        <v>809</v>
      </c>
      <c r="C279">
        <v>22.680265752128602</v>
      </c>
      <c r="D279">
        <v>75.9133801324502</v>
      </c>
      <c r="E279">
        <f t="shared" si="8"/>
        <v>1162.803360717219</v>
      </c>
      <c r="F279" s="34">
        <f t="shared" si="9"/>
        <v>273.94993521482394</v>
      </c>
      <c r="G279" t="str" cm="1">
        <f t="array" ref="G279">IFERROR(
  _xlfn.IFS(F279="Current City","No Direction",
    OR(F279&gt;=337.5,F279&lt;22.5),"N",
    F279&lt;67.5,"NE",
    F279&lt;112.5,"E",
    F279&lt;157.5,"SE",
    F279&lt;202.5,"S",
    F279&lt;247.5,"SW",
    F279&lt;292.5,"W",
    F279&lt;337.5,"NW"
  ), "No Direction"
)</f>
        <v>W</v>
      </c>
    </row>
    <row r="280" spans="1:7" x14ac:dyDescent="0.2">
      <c r="A280" t="s">
        <v>753</v>
      </c>
      <c r="B280" t="s">
        <v>811</v>
      </c>
      <c r="C280">
        <v>23.185255723270402</v>
      </c>
      <c r="D280">
        <v>79.983287547169795</v>
      </c>
      <c r="E280">
        <f t="shared" si="8"/>
        <v>748.73275466924554</v>
      </c>
      <c r="F280" s="34">
        <f t="shared" si="9"/>
        <v>278.47757106386177</v>
      </c>
      <c r="G280" t="str" cm="1">
        <f t="array" ref="G280">IFERROR(
  _xlfn.IFS(F280="Current City","No Direction",
    OR(F280&gt;=337.5,F280&lt;22.5),"N",
    F280&lt;67.5,"NE",
    F280&lt;112.5,"E",
    F280&lt;157.5,"SE",
    F280&lt;202.5,"S",
    F280&lt;247.5,"SW",
    F280&lt;292.5,"W",
    F280&lt;337.5,"NW"
  ), "No Direction"
)</f>
        <v>W</v>
      </c>
    </row>
    <row r="281" spans="1:7" x14ac:dyDescent="0.2">
      <c r="A281" t="s">
        <v>753</v>
      </c>
      <c r="B281" t="s">
        <v>814</v>
      </c>
      <c r="C281">
        <v>22.4195780153977</v>
      </c>
      <c r="D281">
        <v>74.409216167664596</v>
      </c>
      <c r="E281">
        <f t="shared" si="8"/>
        <v>1317.8825846582877</v>
      </c>
      <c r="F281" s="34">
        <f t="shared" si="9"/>
        <v>272.76171640760413</v>
      </c>
      <c r="G281" t="str" cm="1">
        <f t="array" ref="G281">IFERROR(
  _xlfn.IFS(F281="Current City","No Direction",
    OR(F281&gt;=337.5,F281&lt;22.5),"N",
    F281&lt;67.5,"NE",
    F281&lt;112.5,"E",
    F281&lt;157.5,"SE",
    F281&lt;202.5,"S",
    F281&lt;247.5,"SW",
    F281&lt;292.5,"W",
    F281&lt;337.5,"NW"
  ), "No Direction"
)</f>
        <v>W</v>
      </c>
    </row>
    <row r="282" spans="1:7" x14ac:dyDescent="0.2">
      <c r="A282" t="s">
        <v>753</v>
      </c>
      <c r="B282" t="s">
        <v>817</v>
      </c>
      <c r="C282">
        <v>23.724416229116901</v>
      </c>
      <c r="D282">
        <v>80.338196658711198</v>
      </c>
      <c r="E282">
        <f t="shared" si="8"/>
        <v>721.4735987737505</v>
      </c>
      <c r="F282" s="34">
        <f t="shared" si="9"/>
        <v>283.51946255450832</v>
      </c>
      <c r="G282" t="str" cm="1">
        <f t="array" ref="G282">IFERROR(
  _xlfn.IFS(F282="Current City","No Direction",
    OR(F282&gt;=337.5,F282&lt;22.5),"N",
    F282&lt;67.5,"NE",
    F282&lt;112.5,"E",
    F282&lt;157.5,"SE",
    F282&lt;202.5,"S",
    F282&lt;247.5,"SW",
    F282&lt;292.5,"W",
    F282&lt;337.5,"NW"
  ), "No Direction"
)</f>
        <v>W</v>
      </c>
    </row>
    <row r="283" spans="1:7" x14ac:dyDescent="0.2">
      <c r="A283" t="s">
        <v>753</v>
      </c>
      <c r="B283" t="s">
        <v>820</v>
      </c>
      <c r="C283">
        <v>22.7034871244635</v>
      </c>
      <c r="D283">
        <v>80.386005436337499</v>
      </c>
      <c r="E283">
        <f t="shared" si="8"/>
        <v>704.04890560791216</v>
      </c>
      <c r="F283" s="34">
        <f t="shared" si="9"/>
        <v>274.46466957333143</v>
      </c>
      <c r="G283" t="str" cm="1">
        <f t="array" ref="G283">IFERROR(
  _xlfn.IFS(F283="Current City","No Direction",
    OR(F283&gt;=337.5,F283&lt;22.5),"N",
    F283&lt;67.5,"NE",
    F283&lt;112.5,"E",
    F283&lt;157.5,"SE",
    F283&lt;202.5,"S",
    F283&lt;247.5,"SW",
    F283&lt;292.5,"W",
    F283&lt;337.5,"NW"
  ), "No Direction"
)</f>
        <v>W</v>
      </c>
    </row>
    <row r="284" spans="1:7" x14ac:dyDescent="0.2">
      <c r="A284" t="s">
        <v>753</v>
      </c>
      <c r="B284" t="s">
        <v>823</v>
      </c>
      <c r="C284">
        <v>24.192787640449399</v>
      </c>
      <c r="D284">
        <v>75.435886677367506</v>
      </c>
      <c r="E284">
        <f t="shared" si="8"/>
        <v>1221.6340805090515</v>
      </c>
      <c r="F284" s="34">
        <f t="shared" si="9"/>
        <v>281.93065765113755</v>
      </c>
      <c r="G284" t="str" cm="1">
        <f t="array" ref="G284">IFERROR(
  _xlfn.IFS(F284="Current City","No Direction",
    OR(F284&gt;=337.5,F284&lt;22.5),"N",
    F284&lt;67.5,"NE",
    F284&lt;112.5,"E",
    F284&lt;157.5,"SE",
    F284&lt;202.5,"S",
    F284&lt;247.5,"SW",
    F284&lt;292.5,"W",
    F284&lt;337.5,"NW"
  ), "No Direction"
)</f>
        <v>W</v>
      </c>
    </row>
    <row r="285" spans="1:7" x14ac:dyDescent="0.2">
      <c r="A285" t="s">
        <v>753</v>
      </c>
      <c r="B285" t="s">
        <v>826</v>
      </c>
      <c r="C285">
        <v>26.373135045317198</v>
      </c>
      <c r="D285">
        <v>77.884473413897197</v>
      </c>
      <c r="E285">
        <f t="shared" si="8"/>
        <v>1046.4252479562188</v>
      </c>
      <c r="F285" s="34">
        <f t="shared" si="9"/>
        <v>297.14385434377704</v>
      </c>
      <c r="G285" t="str" cm="1">
        <f t="array" ref="G285">IFERROR(
  _xlfn.IFS(F285="Current City","No Direction",
    OR(F285&gt;=337.5,F285&lt;22.5),"N",
    F285&lt;67.5,"NE",
    F285&lt;112.5,"E",
    F285&lt;157.5,"SE",
    F285&lt;202.5,"S",
    F285&lt;247.5,"SW",
    F285&lt;292.5,"W",
    F285&lt;337.5,"NW"
  ), "No Direction"
)</f>
        <v>NW</v>
      </c>
    </row>
    <row r="286" spans="1:7" x14ac:dyDescent="0.2">
      <c r="A286" t="s">
        <v>753</v>
      </c>
      <c r="B286" t="s">
        <v>829</v>
      </c>
      <c r="C286">
        <v>22.951344683026502</v>
      </c>
      <c r="D286">
        <v>79.002024233129006</v>
      </c>
      <c r="E286">
        <f t="shared" si="8"/>
        <v>846.91840836757967</v>
      </c>
      <c r="F286" s="34">
        <f t="shared" si="9"/>
        <v>276.0701510314895</v>
      </c>
      <c r="G286" t="str" cm="1">
        <f t="array" ref="G286">IFERROR(
  _xlfn.IFS(F286="Current City","No Direction",
    OR(F286&gt;=337.5,F286&lt;22.5),"N",
    F286&lt;67.5,"NE",
    F286&lt;112.5,"E",
    F286&lt;157.5,"SE",
    F286&lt;202.5,"S",
    F286&lt;247.5,"SW",
    F286&lt;292.5,"W",
    F286&lt;337.5,"NW"
  ), "No Direction"
)</f>
        <v>W</v>
      </c>
    </row>
    <row r="287" spans="1:7" x14ac:dyDescent="0.2">
      <c r="A287" t="s">
        <v>753</v>
      </c>
      <c r="B287" t="s">
        <v>831</v>
      </c>
      <c r="C287">
        <v>24.7031189333333</v>
      </c>
      <c r="D287">
        <v>75.066081866666593</v>
      </c>
      <c r="E287">
        <f t="shared" si="8"/>
        <v>1266.9050106089182</v>
      </c>
      <c r="F287" s="34">
        <f t="shared" si="9"/>
        <v>284.28138497623252</v>
      </c>
      <c r="G287" t="str" cm="1">
        <f t="array" ref="G287">IFERROR(
  _xlfn.IFS(F287="Current City","No Direction",
    OR(F287&gt;=337.5,F287&lt;22.5),"N",
    F287&lt;67.5,"NE",
    F287&lt;112.5,"E",
    F287&lt;157.5,"SE",
    F287&lt;202.5,"S",
    F287&lt;247.5,"SW",
    F287&lt;292.5,"W",
    F287&lt;337.5,"NW"
  ), "No Direction"
)</f>
        <v>W</v>
      </c>
    </row>
    <row r="288" spans="1:7" x14ac:dyDescent="0.2">
      <c r="A288" t="s">
        <v>753</v>
      </c>
      <c r="B288" t="s">
        <v>834</v>
      </c>
      <c r="C288">
        <v>24.451325840092601</v>
      </c>
      <c r="D288">
        <v>80.211330011587506</v>
      </c>
      <c r="E288">
        <f t="shared" si="8"/>
        <v>753.18845601667749</v>
      </c>
      <c r="F288" s="34">
        <f t="shared" si="9"/>
        <v>289.39976805320407</v>
      </c>
      <c r="G288" t="str" cm="1">
        <f t="array" ref="G288">IFERROR(
  _xlfn.IFS(F288="Current City","No Direction",
    OR(F288&gt;=337.5,F288&lt;22.5),"N",
    F288&lt;67.5,"NE",
    F288&lt;112.5,"E",
    F288&lt;157.5,"SE",
    F288&lt;202.5,"S",
    F288&lt;247.5,"SW",
    F288&lt;292.5,"W",
    F288&lt;337.5,"NW"
  ), "No Direction"
)</f>
        <v>W</v>
      </c>
    </row>
    <row r="289" spans="1:7" x14ac:dyDescent="0.2">
      <c r="A289" t="s">
        <v>753</v>
      </c>
      <c r="B289" t="s">
        <v>837</v>
      </c>
      <c r="C289">
        <v>23.292518206521699</v>
      </c>
      <c r="D289">
        <v>78.163054959239005</v>
      </c>
      <c r="E289">
        <f t="shared" si="8"/>
        <v>935.03169571365652</v>
      </c>
      <c r="F289" s="34">
        <f t="shared" si="9"/>
        <v>278.14942423437986</v>
      </c>
      <c r="G289" t="str" cm="1">
        <f t="array" ref="G289">IFERROR(
  _xlfn.IFS(F289="Current City","No Direction",
    OR(F289&gt;=337.5,F289&lt;22.5),"N",
    F289&lt;67.5,"NE",
    F289&lt;112.5,"E",
    F289&lt;157.5,"SE",
    F289&lt;202.5,"S",
    F289&lt;247.5,"SW",
    F289&lt;292.5,"W",
    F289&lt;337.5,"NW"
  ), "No Direction"
)</f>
        <v>W</v>
      </c>
    </row>
    <row r="290" spans="1:7" x14ac:dyDescent="0.2">
      <c r="A290" t="s">
        <v>753</v>
      </c>
      <c r="B290" t="s">
        <v>840</v>
      </c>
      <c r="C290">
        <v>23.785499026425502</v>
      </c>
      <c r="D290">
        <v>76.664312239221104</v>
      </c>
      <c r="E290">
        <f t="shared" si="8"/>
        <v>1092.3619717848765</v>
      </c>
      <c r="F290" s="34">
        <f t="shared" si="9"/>
        <v>280.42321475410097</v>
      </c>
      <c r="G290" t="str" cm="1">
        <f t="array" ref="G290">IFERROR(
  _xlfn.IFS(F290="Current City","No Direction",
    OR(F290&gt;=337.5,F290&lt;22.5),"N",
    F290&lt;67.5,"NE",
    F290&lt;112.5,"E",
    F290&lt;157.5,"SE",
    F290&lt;202.5,"S",
    F290&lt;247.5,"SW",
    F290&lt;292.5,"W",
    F290&lt;337.5,"NW"
  ), "No Direction"
)</f>
        <v>W</v>
      </c>
    </row>
    <row r="291" spans="1:7" x14ac:dyDescent="0.2">
      <c r="A291" t="s">
        <v>753</v>
      </c>
      <c r="B291" t="s">
        <v>843</v>
      </c>
      <c r="C291">
        <v>23.5035622905027</v>
      </c>
      <c r="D291">
        <v>75.148957821229004</v>
      </c>
      <c r="E291">
        <f t="shared" si="8"/>
        <v>1243.5078961765805</v>
      </c>
      <c r="F291" s="34">
        <f t="shared" si="9"/>
        <v>278.23296587126373</v>
      </c>
      <c r="G291" t="str" cm="1">
        <f t="array" ref="G291">IFERROR(
  _xlfn.IFS(F291="Current City","No Direction",
    OR(F291&gt;=337.5,F291&lt;22.5),"N",
    F291&lt;67.5,"NE",
    F291&lt;112.5,"E",
    F291&lt;157.5,"SE",
    F291&lt;202.5,"S",
    F291&lt;247.5,"SW",
    F291&lt;292.5,"W",
    F291&lt;337.5,"NW"
  ), "No Direction"
)</f>
        <v>W</v>
      </c>
    </row>
    <row r="292" spans="1:7" x14ac:dyDescent="0.2">
      <c r="A292" t="s">
        <v>753</v>
      </c>
      <c r="B292" t="s">
        <v>846</v>
      </c>
      <c r="C292">
        <v>24.861184625158799</v>
      </c>
      <c r="D292">
        <v>81.5757246505718</v>
      </c>
      <c r="E292">
        <f t="shared" si="8"/>
        <v>639.96662852885981</v>
      </c>
      <c r="F292" s="34">
        <f t="shared" si="9"/>
        <v>296.92436754410659</v>
      </c>
      <c r="G292" t="str" cm="1">
        <f t="array" ref="G292">IFERROR(
  _xlfn.IFS(F292="Current City","No Direction",
    OR(F292&gt;=337.5,F292&lt;22.5),"N",
    F292&lt;67.5,"NE",
    F292&lt;112.5,"E",
    F292&lt;157.5,"SE",
    F292&lt;202.5,"S",
    F292&lt;247.5,"SW",
    F292&lt;292.5,"W",
    F292&lt;337.5,"NW"
  ), "No Direction"
)</f>
        <v>NW</v>
      </c>
    </row>
    <row r="293" spans="1:7" x14ac:dyDescent="0.2">
      <c r="A293" t="s">
        <v>753</v>
      </c>
      <c r="B293" t="s">
        <v>849</v>
      </c>
      <c r="C293">
        <v>23.800318709677299</v>
      </c>
      <c r="D293">
        <v>78.719403577712697</v>
      </c>
      <c r="E293">
        <f t="shared" si="8"/>
        <v>885.26161761333572</v>
      </c>
      <c r="F293" s="34">
        <f t="shared" si="9"/>
        <v>282.1102992962085</v>
      </c>
      <c r="G293" t="str" cm="1">
        <f t="array" ref="G293">IFERROR(
  _xlfn.IFS(F293="Current City","No Direction",
    OR(F293&gt;=337.5,F293&lt;22.5),"N",
    F293&lt;67.5,"NE",
    F293&lt;112.5,"E",
    F293&lt;157.5,"SE",
    F293&lt;202.5,"S",
    F293&lt;247.5,"SW",
    F293&lt;292.5,"W",
    F293&lt;337.5,"NW"
  ), "No Direction"
)</f>
        <v>W</v>
      </c>
    </row>
    <row r="294" spans="1:7" x14ac:dyDescent="0.2">
      <c r="A294" t="s">
        <v>753</v>
      </c>
      <c r="B294" t="s">
        <v>852</v>
      </c>
      <c r="C294">
        <v>24.627776217765</v>
      </c>
      <c r="D294">
        <v>80.755470487105896</v>
      </c>
      <c r="E294">
        <f t="shared" si="8"/>
        <v>706.96486543171352</v>
      </c>
      <c r="F294" s="34">
        <f t="shared" si="9"/>
        <v>292.21292423458067</v>
      </c>
      <c r="G294" t="str" cm="1">
        <f t="array" ref="G294">IFERROR(
  _xlfn.IFS(F294="Current City","No Direction",
    OR(F294&gt;=337.5,F294&lt;22.5),"N",
    F294&lt;67.5,"NE",
    F294&lt;112.5,"E",
    F294&lt;157.5,"SE",
    F294&lt;202.5,"S",
    F294&lt;247.5,"SW",
    F294&lt;292.5,"W",
    F294&lt;337.5,"NW"
  ), "No Direction"
)</f>
        <v>W</v>
      </c>
    </row>
    <row r="295" spans="1:7" x14ac:dyDescent="0.2">
      <c r="A295" t="s">
        <v>753</v>
      </c>
      <c r="B295" t="s">
        <v>855</v>
      </c>
      <c r="C295">
        <v>22.929719967965799</v>
      </c>
      <c r="D295">
        <v>77.067802028830798</v>
      </c>
      <c r="E295">
        <f t="shared" si="8"/>
        <v>1044.743941850046</v>
      </c>
      <c r="F295" s="34">
        <f t="shared" si="9"/>
        <v>275.45835495207052</v>
      </c>
      <c r="G295" t="str" cm="1">
        <f t="array" ref="G295">IFERROR(
  _xlfn.IFS(F295="Current City","No Direction",
    OR(F295&gt;=337.5,F295&lt;22.5),"N",
    F295&lt;67.5,"NE",
    F295&lt;112.5,"E",
    F295&lt;157.5,"SE",
    F295&lt;202.5,"S",
    F295&lt;247.5,"SW",
    F295&lt;292.5,"W",
    F295&lt;337.5,"NW"
  ), "No Direction"
)</f>
        <v>W</v>
      </c>
    </row>
    <row r="296" spans="1:7" x14ac:dyDescent="0.2">
      <c r="A296" t="s">
        <v>753</v>
      </c>
      <c r="B296" t="s">
        <v>858</v>
      </c>
      <c r="C296">
        <v>22.332304878048699</v>
      </c>
      <c r="D296">
        <v>79.6605386392811</v>
      </c>
      <c r="E296">
        <f t="shared" si="8"/>
        <v>778.51892209198923</v>
      </c>
      <c r="F296" s="34">
        <f t="shared" si="9"/>
        <v>271.25619639836287</v>
      </c>
      <c r="G296" t="str" cm="1">
        <f t="array" ref="G296">IFERROR(
  _xlfn.IFS(F296="Current City","No Direction",
    OR(F296&gt;=337.5,F296&lt;22.5),"N",
    F296&lt;67.5,"NE",
    F296&lt;112.5,"E",
    F296&lt;157.5,"SE",
    F296&lt;202.5,"S",
    F296&lt;247.5,"SW",
    F296&lt;292.5,"W",
    F296&lt;337.5,"NW"
  ), "No Direction"
)</f>
        <v>W</v>
      </c>
    </row>
    <row r="297" spans="1:7" x14ac:dyDescent="0.2">
      <c r="A297" t="s">
        <v>753</v>
      </c>
      <c r="B297" t="s">
        <v>861</v>
      </c>
      <c r="C297">
        <v>23.4485986455981</v>
      </c>
      <c r="D297">
        <v>81.459683182844202</v>
      </c>
      <c r="E297">
        <f t="shared" si="8"/>
        <v>603.4855768195265</v>
      </c>
      <c r="F297" s="34">
        <f t="shared" si="9"/>
        <v>282.73892334521861</v>
      </c>
      <c r="G297" t="str" cm="1">
        <f t="array" ref="G297">IFERROR(
  _xlfn.IFS(F297="Current City","No Direction",
    OR(F297&gt;=337.5,F297&lt;22.5),"N",
    F297&lt;67.5,"NE",
    F297&lt;112.5,"E",
    F297&lt;157.5,"SE",
    F297&lt;202.5,"S",
    F297&lt;247.5,"SW",
    F297&lt;292.5,"W",
    F297&lt;337.5,"NW"
  ), "No Direction"
)</f>
        <v>W</v>
      </c>
    </row>
    <row r="298" spans="1:7" x14ac:dyDescent="0.2">
      <c r="A298" t="s">
        <v>753</v>
      </c>
      <c r="B298" t="s">
        <v>863</v>
      </c>
      <c r="C298">
        <v>23.566620317220501</v>
      </c>
      <c r="D298">
        <v>76.335551812688806</v>
      </c>
      <c r="E298">
        <f t="shared" si="8"/>
        <v>1123.355190915177</v>
      </c>
      <c r="F298" s="34">
        <f t="shared" si="9"/>
        <v>278.99702428330102</v>
      </c>
      <c r="G298" t="str" cm="1">
        <f t="array" ref="G298">IFERROR(
  _xlfn.IFS(F298="Current City","No Direction",
    OR(F298&gt;=337.5,F298&lt;22.5),"N",
    F298&lt;67.5,"NE",
    F298&lt;112.5,"E",
    F298&lt;157.5,"SE",
    F298&lt;202.5,"S",
    F298&lt;247.5,"SW",
    F298&lt;292.5,"W",
    F298&lt;337.5,"NW"
  ), "No Direction"
)</f>
        <v>W</v>
      </c>
    </row>
    <row r="299" spans="1:7" x14ac:dyDescent="0.2">
      <c r="A299" t="s">
        <v>753</v>
      </c>
      <c r="B299" t="s">
        <v>866</v>
      </c>
      <c r="C299">
        <v>25.780148109965602</v>
      </c>
      <c r="D299">
        <v>77.169111168384802</v>
      </c>
      <c r="E299">
        <f t="shared" si="8"/>
        <v>1089.8247794499518</v>
      </c>
      <c r="F299" s="34">
        <f t="shared" si="9"/>
        <v>292.45292795040604</v>
      </c>
      <c r="G299" t="str" cm="1">
        <f t="array" ref="G299">IFERROR(
  _xlfn.IFS(F299="Current City","No Direction",
    OR(F299&gt;=337.5,F299&lt;22.5),"N",
    F299&lt;67.5,"NE",
    F299&lt;112.5,"E",
    F299&lt;157.5,"SE",
    F299&lt;202.5,"S",
    F299&lt;247.5,"SW",
    F299&lt;292.5,"W",
    F299&lt;337.5,"NW"
  ), "No Direction"
)</f>
        <v>W</v>
      </c>
    </row>
    <row r="300" spans="1:7" x14ac:dyDescent="0.2">
      <c r="A300" t="s">
        <v>753</v>
      </c>
      <c r="B300" t="s">
        <v>869</v>
      </c>
      <c r="C300">
        <v>25.378024518743601</v>
      </c>
      <c r="D300">
        <v>77.748616008105401</v>
      </c>
      <c r="E300">
        <f t="shared" si="8"/>
        <v>1020.812531950501</v>
      </c>
      <c r="F300" s="34">
        <f t="shared" si="9"/>
        <v>291.099760613299</v>
      </c>
      <c r="G300" t="str" cm="1">
        <f t="array" ref="G300">IFERROR(
  _xlfn.IFS(F300="Current City","No Direction",
    OR(F300&gt;=337.5,F300&lt;22.5),"N",
    F300&lt;67.5,"NE",
    F300&lt;112.5,"E",
    F300&lt;157.5,"SE",
    F300&lt;202.5,"S",
    F300&lt;247.5,"SW",
    F300&lt;292.5,"W",
    F300&lt;337.5,"NW"
  ), "No Direction"
)</f>
        <v>W</v>
      </c>
    </row>
    <row r="301" spans="1:7" x14ac:dyDescent="0.2">
      <c r="A301" t="s">
        <v>753</v>
      </c>
      <c r="B301" t="s">
        <v>872</v>
      </c>
      <c r="C301">
        <v>24.175471899529001</v>
      </c>
      <c r="D301">
        <v>82.105378335949794</v>
      </c>
      <c r="E301">
        <f t="shared" si="8"/>
        <v>561.31503372437305</v>
      </c>
      <c r="F301" s="34">
        <f t="shared" si="9"/>
        <v>292.13721657529021</v>
      </c>
      <c r="G301" t="str" cm="1">
        <f t="array" ref="G301">IFERROR(
  _xlfn.IFS(F301="Current City","No Direction",
    OR(F301&gt;=337.5,F301&lt;22.5),"N",
    F301&lt;67.5,"NE",
    F301&lt;112.5,"E",
    F301&lt;157.5,"SE",
    F301&lt;202.5,"S",
    F301&lt;247.5,"SW",
    F301&lt;292.5,"W",
    F301&lt;337.5,"NW"
  ), "No Direction"
)</f>
        <v>W</v>
      </c>
    </row>
    <row r="302" spans="1:7" x14ac:dyDescent="0.2">
      <c r="A302" t="s">
        <v>753</v>
      </c>
      <c r="B302" t="s">
        <v>874</v>
      </c>
      <c r="C302">
        <v>25.140998521046601</v>
      </c>
      <c r="D302">
        <v>78.893570648464205</v>
      </c>
      <c r="E302">
        <f t="shared" si="8"/>
        <v>903.12583899141885</v>
      </c>
      <c r="F302" s="34">
        <f t="shared" si="9"/>
        <v>291.70351806437844</v>
      </c>
      <c r="G302" t="str" cm="1">
        <f t="array" ref="G302">IFERROR(
  _xlfn.IFS(F302="Current City","No Direction",
    OR(F302&gt;=337.5,F302&lt;22.5),"N",
    F302&lt;67.5,"NE",
    F302&lt;112.5,"E",
    F302&lt;157.5,"SE",
    F302&lt;202.5,"S",
    F302&lt;247.5,"SW",
    F302&lt;292.5,"W",
    F302&lt;337.5,"NW"
  ), "No Direction"
)</f>
        <v>W</v>
      </c>
    </row>
    <row r="303" spans="1:7" x14ac:dyDescent="0.2">
      <c r="A303" t="s">
        <v>753</v>
      </c>
      <c r="B303" t="s">
        <v>877</v>
      </c>
      <c r="C303">
        <v>23.319288862745001</v>
      </c>
      <c r="D303">
        <v>75.803837176470495</v>
      </c>
      <c r="E303">
        <f t="shared" si="8"/>
        <v>1175.6274509968273</v>
      </c>
      <c r="F303" s="34">
        <f t="shared" si="9"/>
        <v>277.43867733860174</v>
      </c>
      <c r="G303" t="str" cm="1">
        <f t="array" ref="G303">IFERROR(
  _xlfn.IFS(F303="Current City","No Direction",
    OR(F303&gt;=337.5,F303&lt;22.5),"N",
    F303&lt;67.5,"NE",
    F303&lt;112.5,"E",
    F303&lt;157.5,"SE",
    F303&lt;202.5,"S",
    F303&lt;247.5,"SW",
    F303&lt;292.5,"W",
    F303&lt;337.5,"NW"
  ), "No Direction"
)</f>
        <v>W</v>
      </c>
    </row>
    <row r="304" spans="1:7" x14ac:dyDescent="0.2">
      <c r="A304" t="s">
        <v>753</v>
      </c>
      <c r="B304" t="s">
        <v>880</v>
      </c>
      <c r="C304">
        <v>23.596010630630602</v>
      </c>
      <c r="D304">
        <v>80.908794774774705</v>
      </c>
      <c r="E304">
        <f t="shared" si="8"/>
        <v>661.7128873523294</v>
      </c>
      <c r="F304" s="34">
        <f t="shared" si="9"/>
        <v>283.25955151285683</v>
      </c>
      <c r="G304" t="str" cm="1">
        <f t="array" ref="G304">IFERROR(
  _xlfn.IFS(F304="Current City","No Direction",
    OR(F304&gt;=337.5,F304&lt;22.5),"N",
    F304&lt;67.5,"NE",
    F304&lt;112.5,"E",
    F304&lt;157.5,"SE",
    F304&lt;202.5,"S",
    F304&lt;247.5,"SW",
    F304&lt;292.5,"W",
    F304&lt;337.5,"NW"
  ), "No Direction"
)</f>
        <v>W</v>
      </c>
    </row>
    <row r="305" spans="1:7" x14ac:dyDescent="0.2">
      <c r="A305" t="s">
        <v>753</v>
      </c>
      <c r="B305" t="s">
        <v>883</v>
      </c>
      <c r="C305">
        <v>23.828383079847899</v>
      </c>
      <c r="D305">
        <v>77.901350760456296</v>
      </c>
      <c r="E305">
        <f t="shared" si="8"/>
        <v>968.05548621768287</v>
      </c>
      <c r="F305" s="34">
        <f t="shared" si="9"/>
        <v>281.5539806852143</v>
      </c>
      <c r="G305" t="str" cm="1">
        <f t="array" ref="G305">IFERROR(
  _xlfn.IFS(F305="Current City","No Direction",
    OR(F305&gt;=337.5,F305&lt;22.5),"N",
    F305&lt;67.5,"NE",
    F305&lt;112.5,"E",
    F305&lt;157.5,"SE",
    F305&lt;202.5,"S",
    F305&lt;247.5,"SW",
    F305&lt;292.5,"W",
    F305&lt;337.5,"NW"
  ), "No Direction"
)</f>
        <v>W</v>
      </c>
    </row>
    <row r="306" spans="1:7" x14ac:dyDescent="0.2">
      <c r="A306" t="s">
        <v>753</v>
      </c>
      <c r="B306" t="s">
        <v>885</v>
      </c>
      <c r="C306">
        <v>22.027139999999999</v>
      </c>
      <c r="D306">
        <v>75.8734374248926</v>
      </c>
      <c r="E306">
        <f t="shared" si="8"/>
        <v>1169.6528355922676</v>
      </c>
      <c r="F306" s="34">
        <f t="shared" si="9"/>
        <v>270.37161903175581</v>
      </c>
      <c r="G306" t="str" cm="1">
        <f t="array" ref="G306">IFERROR(
  _xlfn.IFS(F306="Current City","No Direction",
    OR(F306&gt;=337.5,F306&lt;22.5),"N",
    F306&lt;67.5,"NE",
    F306&lt;112.5,"E",
    F306&lt;157.5,"SE",
    F306&lt;202.5,"S",
    F306&lt;247.5,"SW",
    F306&lt;292.5,"W",
    F306&lt;337.5,"NW"
  ), "No Direction"
)</f>
        <v>W</v>
      </c>
    </row>
    <row r="307" spans="1:7" x14ac:dyDescent="0.2">
      <c r="A307" t="s">
        <v>888</v>
      </c>
      <c r="B307" t="s">
        <v>889</v>
      </c>
      <c r="C307">
        <v>19.217599032017802</v>
      </c>
      <c r="D307">
        <v>74.692202606105695</v>
      </c>
      <c r="E307">
        <f t="shared" si="8"/>
        <v>1348.8319736049261</v>
      </c>
      <c r="F307" s="34">
        <f t="shared" si="9"/>
        <v>257.30973109756934</v>
      </c>
      <c r="G307" t="str" cm="1">
        <f t="array" ref="G307">IFERROR(
  _xlfn.IFS(F307="Current City","No Direction",
    OR(F307&gt;=337.5,F307&lt;22.5),"N",
    F307&lt;67.5,"NE",
    F307&lt;112.5,"E",
    F307&lt;157.5,"SE",
    F307&lt;202.5,"S",
    F307&lt;247.5,"SW",
    F307&lt;292.5,"W",
    F307&lt;337.5,"NW"
  ), "No Direction"
)</f>
        <v>W</v>
      </c>
    </row>
    <row r="308" spans="1:7" x14ac:dyDescent="0.2">
      <c r="A308" t="s">
        <v>888</v>
      </c>
      <c r="B308" t="s">
        <v>892</v>
      </c>
      <c r="C308">
        <v>20.746310479041899</v>
      </c>
      <c r="D308">
        <v>77.121223203592706</v>
      </c>
      <c r="E308">
        <f t="shared" si="8"/>
        <v>1060.5300854015402</v>
      </c>
      <c r="F308" s="34">
        <f t="shared" si="9"/>
        <v>262.17851619583411</v>
      </c>
      <c r="G308" t="str" cm="1">
        <f t="array" ref="G308">IFERROR(
  _xlfn.IFS(F308="Current City","No Direction",
    OR(F308&gt;=337.5,F308&lt;22.5),"N",
    F308&lt;67.5,"NE",
    F308&lt;112.5,"E",
    F308&lt;157.5,"SE",
    F308&lt;202.5,"S",
    F308&lt;247.5,"SW",
    F308&lt;292.5,"W",
    F308&lt;337.5,"NW"
  ), "No Direction"
)</f>
        <v>W</v>
      </c>
    </row>
    <row r="309" spans="1:7" x14ac:dyDescent="0.2">
      <c r="A309" t="s">
        <v>888</v>
      </c>
      <c r="B309" t="s">
        <v>895</v>
      </c>
      <c r="C309">
        <v>21.165209918107301</v>
      </c>
      <c r="D309">
        <v>77.6758350318472</v>
      </c>
      <c r="E309">
        <f t="shared" si="8"/>
        <v>995.42498476017465</v>
      </c>
      <c r="F309" s="34">
        <f t="shared" si="9"/>
        <v>264.15690683690218</v>
      </c>
      <c r="G309" t="str" cm="1">
        <f t="array" ref="G309">IFERROR(
  _xlfn.IFS(F309="Current City","No Direction",
    OR(F309&gt;=337.5,F309&lt;22.5),"N",
    F309&lt;67.5,"NE",
    F309&lt;112.5,"E",
    F309&lt;157.5,"SE",
    F309&lt;202.5,"S",
    F309&lt;247.5,"SW",
    F309&lt;292.5,"W",
    F309&lt;337.5,"NW"
  ), "No Direction"
)</f>
        <v>W</v>
      </c>
    </row>
    <row r="310" spans="1:7" x14ac:dyDescent="0.2">
      <c r="A310" t="s">
        <v>888</v>
      </c>
      <c r="B310" t="s">
        <v>193</v>
      </c>
      <c r="C310">
        <v>20.097922883295102</v>
      </c>
      <c r="D310">
        <v>75.320721967963294</v>
      </c>
      <c r="E310">
        <f t="shared" si="8"/>
        <v>1259.3658893788088</v>
      </c>
      <c r="F310" s="34">
        <f t="shared" si="9"/>
        <v>260.71326297321849</v>
      </c>
      <c r="G310" t="str" cm="1">
        <f t="array" ref="G310">IFERROR(
  _xlfn.IFS(F310="Current City","No Direction",
    OR(F310&gt;=337.5,F310&lt;22.5),"N",
    F310&lt;67.5,"NE",
    F310&lt;112.5,"E",
    F310&lt;157.5,"SE",
    F310&lt;202.5,"S",
    F310&lt;247.5,"SW",
    F310&lt;292.5,"W",
    F310&lt;337.5,"NW"
  ), "No Direction"
)</f>
        <v>W</v>
      </c>
    </row>
    <row r="311" spans="1:7" x14ac:dyDescent="0.2">
      <c r="A311" t="s">
        <v>888</v>
      </c>
      <c r="B311" t="s">
        <v>900</v>
      </c>
      <c r="C311">
        <v>21.211792649727698</v>
      </c>
      <c r="D311">
        <v>80.109501996370199</v>
      </c>
      <c r="E311">
        <f t="shared" si="8"/>
        <v>746.15390926065584</v>
      </c>
      <c r="F311" s="34">
        <f t="shared" si="9"/>
        <v>261.52838160067023</v>
      </c>
      <c r="G311" t="str" cm="1">
        <f t="array" ref="G311">IFERROR(
  _xlfn.IFS(F311="Current City","No Direction",
    OR(F311&gt;=337.5,F311&lt;22.5),"N",
    F311&lt;67.5,"NE",
    F311&lt;112.5,"E",
    F311&lt;157.5,"SE",
    F311&lt;202.5,"S",
    F311&lt;247.5,"SW",
    F311&lt;292.5,"W",
    F311&lt;337.5,"NW"
  ), "No Direction"
)</f>
        <v>W</v>
      </c>
    </row>
    <row r="312" spans="1:7" x14ac:dyDescent="0.2">
      <c r="A312" t="s">
        <v>888</v>
      </c>
      <c r="B312" t="s">
        <v>903</v>
      </c>
      <c r="C312">
        <v>18.952353340080901</v>
      </c>
      <c r="D312">
        <v>75.693197064777294</v>
      </c>
      <c r="E312">
        <f t="shared" si="8"/>
        <v>1258.2180579827884</v>
      </c>
      <c r="F312" s="34">
        <f t="shared" si="9"/>
        <v>254.60699462248789</v>
      </c>
      <c r="G312" t="str" cm="1">
        <f t="array" ref="G312">IFERROR(
  _xlfn.IFS(F312="Current City","No Direction",
    OR(F312&gt;=337.5,F312&lt;22.5),"N",
    F312&lt;67.5,"NE",
    F312&lt;112.5,"E",
    F312&lt;157.5,"SE",
    F312&lt;202.5,"S",
    F312&lt;247.5,"SW",
    F312&lt;292.5,"W",
    F312&lt;337.5,"NW"
  ), "No Direction"
)</f>
        <v>W</v>
      </c>
    </row>
    <row r="313" spans="1:7" x14ac:dyDescent="0.2">
      <c r="A313" t="s">
        <v>888</v>
      </c>
      <c r="B313" t="s">
        <v>906</v>
      </c>
      <c r="C313">
        <v>20.5668061118335</v>
      </c>
      <c r="D313">
        <v>76.390178803640893</v>
      </c>
      <c r="E313">
        <f t="shared" si="8"/>
        <v>1139.0653440099952</v>
      </c>
      <c r="F313" s="34">
        <f t="shared" si="9"/>
        <v>261.96825856456053</v>
      </c>
      <c r="G313" t="str" cm="1">
        <f t="array" ref="G313">IFERROR(
  _xlfn.IFS(F313="Current City","No Direction",
    OR(F313&gt;=337.5,F313&lt;22.5),"N",
    F313&lt;67.5,"NE",
    F313&lt;112.5,"E",
    F313&lt;157.5,"SE",
    F313&lt;202.5,"S",
    F313&lt;247.5,"SW",
    F313&lt;292.5,"W",
    F313&lt;337.5,"NW"
  ), "No Direction"
)</f>
        <v>W</v>
      </c>
    </row>
    <row r="314" spans="1:7" x14ac:dyDescent="0.2">
      <c r="A314" t="s">
        <v>888</v>
      </c>
      <c r="B314" t="s">
        <v>909</v>
      </c>
      <c r="C314">
        <v>20.095609090909001</v>
      </c>
      <c r="D314">
        <v>79.315563804713804</v>
      </c>
      <c r="E314">
        <f t="shared" si="8"/>
        <v>857.89631744146811</v>
      </c>
      <c r="F314" s="34">
        <f t="shared" si="9"/>
        <v>254.43713572884892</v>
      </c>
      <c r="G314" t="str" cm="1">
        <f t="array" ref="G314">IFERROR(
  _xlfn.IFS(F314="Current City","No Direction",
    OR(F314&gt;=337.5,F314&lt;22.5),"N",
    F314&lt;67.5,"NE",
    F314&lt;112.5,"E",
    F314&lt;157.5,"SE",
    F314&lt;202.5,"S",
    F314&lt;247.5,"SW",
    F314&lt;292.5,"W",
    F314&lt;337.5,"NW"
  ), "No Direction"
)</f>
        <v>W</v>
      </c>
    </row>
    <row r="315" spans="1:7" x14ac:dyDescent="0.2">
      <c r="A315" t="s">
        <v>888</v>
      </c>
      <c r="B315" t="s">
        <v>912</v>
      </c>
      <c r="C315">
        <v>21.274018690400499</v>
      </c>
      <c r="D315">
        <v>74.587190718372597</v>
      </c>
      <c r="E315">
        <f t="shared" si="8"/>
        <v>1310.3809476397728</v>
      </c>
      <c r="F315" s="34">
        <f t="shared" si="9"/>
        <v>267.11793558650686</v>
      </c>
      <c r="G315" t="str" cm="1">
        <f t="array" ref="G315">IFERROR(
  _xlfn.IFS(F315="Current City","No Direction",
    OR(F315&gt;=337.5,F315&lt;22.5),"N",
    F315&lt;67.5,"NE",
    F315&lt;112.5,"E",
    F315&lt;157.5,"SE",
    F315&lt;202.5,"S",
    F315&lt;247.5,"SW",
    F315&lt;292.5,"W",
    F315&lt;337.5,"NW"
  ), "No Direction"
)</f>
        <v>W</v>
      </c>
    </row>
    <row r="316" spans="1:7" x14ac:dyDescent="0.2">
      <c r="A316" t="s">
        <v>888</v>
      </c>
      <c r="B316" t="s">
        <v>915</v>
      </c>
      <c r="C316">
        <v>19.795546096654199</v>
      </c>
      <c r="D316">
        <v>80.309655638166006</v>
      </c>
      <c r="E316">
        <f t="shared" si="8"/>
        <v>772.33976191465547</v>
      </c>
      <c r="F316" s="34">
        <f t="shared" si="9"/>
        <v>249.65396329112167</v>
      </c>
      <c r="G316" t="str" cm="1">
        <f t="array" ref="G316">IFERROR(
  _xlfn.IFS(F316="Current City","No Direction",
    OR(F316&gt;=337.5,F316&lt;22.5),"N",
    F316&lt;67.5,"NE",
    F316&lt;112.5,"E",
    F316&lt;157.5,"SE",
    F316&lt;202.5,"S",
    F316&lt;247.5,"SW",
    F316&lt;292.5,"W",
    F316&lt;337.5,"NW"
  ), "No Direction"
)</f>
        <v>W</v>
      </c>
    </row>
    <row r="317" spans="1:7" x14ac:dyDescent="0.2">
      <c r="A317" t="s">
        <v>888</v>
      </c>
      <c r="B317" t="s">
        <v>918</v>
      </c>
      <c r="C317">
        <v>21.225008411214901</v>
      </c>
      <c r="D317">
        <v>80.175226985981197</v>
      </c>
      <c r="E317">
        <f t="shared" si="8"/>
        <v>739.18560280112342</v>
      </c>
      <c r="F317" s="34">
        <f t="shared" si="9"/>
        <v>261.53846027016334</v>
      </c>
      <c r="G317" t="str" cm="1">
        <f t="array" ref="G317">IFERROR(
  _xlfn.IFS(F317="Current City","No Direction",
    OR(F317&gt;=337.5,F317&lt;22.5),"N",
    F317&lt;67.5,"NE",
    F317&lt;112.5,"E",
    F317&lt;157.5,"SE",
    F317&lt;202.5,"S",
    F317&lt;247.5,"SW",
    F317&lt;292.5,"W",
    F317&lt;337.5,"NW"
  ), "No Direction"
)</f>
        <v>W</v>
      </c>
    </row>
    <row r="318" spans="1:7" x14ac:dyDescent="0.2">
      <c r="A318" t="s">
        <v>888</v>
      </c>
      <c r="B318" t="s">
        <v>921</v>
      </c>
      <c r="C318">
        <v>19.0850697880269</v>
      </c>
      <c r="D318">
        <v>72.842619613324104</v>
      </c>
      <c r="E318">
        <f t="shared" si="8"/>
        <v>1539.2086533116189</v>
      </c>
      <c r="F318" s="34">
        <f t="shared" si="9"/>
        <v>258.97256468323474</v>
      </c>
      <c r="G318" t="str" cm="1">
        <f t="array" ref="G318">IFERROR(
  _xlfn.IFS(F318="Current City","No Direction",
    OR(F318&gt;=337.5,F318&lt;22.5),"N",
    F318&lt;67.5,"NE",
    F318&lt;112.5,"E",
    F318&lt;157.5,"SE",
    F318&lt;202.5,"S",
    F318&lt;247.5,"SW",
    F318&lt;292.5,"W",
    F318&lt;337.5,"NW"
  ), "No Direction"
)</f>
        <v>W</v>
      </c>
    </row>
    <row r="319" spans="1:7" x14ac:dyDescent="0.2">
      <c r="A319" t="s">
        <v>888</v>
      </c>
      <c r="B319" t="s">
        <v>924</v>
      </c>
      <c r="C319">
        <v>19.5952530224525</v>
      </c>
      <c r="D319">
        <v>77.0923941278065</v>
      </c>
      <c r="E319">
        <f t="shared" si="8"/>
        <v>1096.163492319585</v>
      </c>
      <c r="F319" s="34">
        <f t="shared" si="9"/>
        <v>255.60915910659065</v>
      </c>
      <c r="G319" t="str" cm="1">
        <f t="array" ref="G319">IFERROR(
  _xlfn.IFS(F319="Current City","No Direction",
    OR(F319&gt;=337.5,F319&lt;22.5),"N",
    F319&lt;67.5,"NE",
    F319&lt;112.5,"E",
    F319&lt;157.5,"SE",
    F319&lt;202.5,"S",
    F319&lt;247.5,"SW",
    F319&lt;292.5,"W",
    F319&lt;337.5,"NW"
  ), "No Direction"
)</f>
        <v>W</v>
      </c>
    </row>
    <row r="320" spans="1:7" x14ac:dyDescent="0.2">
      <c r="A320" t="s">
        <v>888</v>
      </c>
      <c r="B320" t="s">
        <v>927</v>
      </c>
      <c r="C320">
        <v>20.882894341563802</v>
      </c>
      <c r="D320">
        <v>75.551404218106896</v>
      </c>
      <c r="E320">
        <f t="shared" si="8"/>
        <v>1218.0691515266833</v>
      </c>
      <c r="F320" s="34">
        <f t="shared" si="9"/>
        <v>264.4644175676724</v>
      </c>
      <c r="G320" t="str" cm="1">
        <f t="array" ref="G320">IFERROR(
  _xlfn.IFS(F320="Current City","No Direction",
    OR(F320&gt;=337.5,F320&lt;22.5),"N",
    F320&lt;67.5,"NE",
    F320&lt;112.5,"E",
    F320&lt;157.5,"SE",
    F320&lt;202.5,"S",
    F320&lt;247.5,"SW",
    F320&lt;292.5,"W",
    F320&lt;337.5,"NW"
  ), "No Direction"
)</f>
        <v>W</v>
      </c>
    </row>
    <row r="321" spans="1:7" x14ac:dyDescent="0.2">
      <c r="A321" t="s">
        <v>888</v>
      </c>
      <c r="B321" t="s">
        <v>929</v>
      </c>
      <c r="C321">
        <v>19.984612534818901</v>
      </c>
      <c r="D321">
        <v>75.984736072423303</v>
      </c>
      <c r="E321">
        <f t="shared" si="8"/>
        <v>1195.1935617742251</v>
      </c>
      <c r="F321" s="34">
        <f t="shared" si="9"/>
        <v>259.34159500488647</v>
      </c>
      <c r="G321" t="str" cm="1">
        <f t="array" ref="G321">IFERROR(
  _xlfn.IFS(F321="Current City","No Direction",
    OR(F321&gt;=337.5,F321&lt;22.5),"N",
    F321&lt;67.5,"NE",
    F321&lt;112.5,"E",
    F321&lt;157.5,"SE",
    F321&lt;202.5,"S",
    F321&lt;247.5,"SW",
    F321&lt;292.5,"W",
    F321&lt;337.5,"NW"
  ), "No Direction"
)</f>
        <v>W</v>
      </c>
    </row>
    <row r="322" spans="1:7" x14ac:dyDescent="0.2">
      <c r="A322" t="s">
        <v>888</v>
      </c>
      <c r="B322" t="s">
        <v>932</v>
      </c>
      <c r="C322">
        <v>16.448813015873</v>
      </c>
      <c r="D322">
        <v>74.128971507936399</v>
      </c>
      <c r="E322">
        <f t="shared" ref="E322:E385" si="10">2*6371*ASIN(SQRT(
    SIN(RADIANS(C322-$M$7)/2)^2 +
    COS(RADIANS($M$7)) * COS(RADIANS(C322)) *
    SIN(RADIANS(D322-$M$8)/2)^2
))</f>
        <v>1521.9594672192127</v>
      </c>
      <c r="F322" s="34">
        <f t="shared" si="9"/>
        <v>246.75084333533712</v>
      </c>
      <c r="G322" t="str" cm="1">
        <f t="array" ref="G322">IFERROR(
  _xlfn.IFS(F322="Current City","No Direction",
    OR(F322&gt;=337.5,F322&lt;22.5),"N",
    F322&lt;67.5,"NE",
    F322&lt;112.5,"E",
    F322&lt;157.5,"SE",
    F322&lt;202.5,"S",
    F322&lt;247.5,"SW",
    F322&lt;292.5,"W",
    F322&lt;337.5,"NW"
  ), "No Direction"
)</f>
        <v>SW</v>
      </c>
    </row>
    <row r="323" spans="1:7" x14ac:dyDescent="0.2">
      <c r="A323" t="s">
        <v>888</v>
      </c>
      <c r="B323" t="s">
        <v>935</v>
      </c>
      <c r="C323">
        <v>18.3486872689938</v>
      </c>
      <c r="D323">
        <v>76.758126078028695</v>
      </c>
      <c r="E323">
        <f t="shared" si="10"/>
        <v>1178.7537123427692</v>
      </c>
      <c r="F323" s="34">
        <f t="shared" ref="F323:F386" si="11">IFERROR(MOD(DEGREES(ATAN2(COS(RADIANS($M$7))*SIN(RADIANS(C323))-SIN(RADIANS($M$7))*COS(RADIANS(C323))*COS(RADIANS(D323-$M$8)), SIN(RADIANS(D323-$M$8))*COS(RADIANS(C323))))+360, 360),"Current City")</f>
        <v>249.6911505260436</v>
      </c>
      <c r="G323" t="str" cm="1">
        <f t="array" ref="G323">IFERROR(
  _xlfn.IFS(F323="Current City","No Direction",
    OR(F323&gt;=337.5,F323&lt;22.5),"N",
    F323&lt;67.5,"NE",
    F323&lt;112.5,"E",
    F323&lt;157.5,"SE",
    F323&lt;202.5,"S",
    F323&lt;247.5,"SW",
    F323&lt;292.5,"W",
    F323&lt;337.5,"NW"
  ), "No Direction"
)</f>
        <v>W</v>
      </c>
    </row>
    <row r="324" spans="1:7" x14ac:dyDescent="0.2">
      <c r="A324" t="s">
        <v>888</v>
      </c>
      <c r="B324" t="s">
        <v>938</v>
      </c>
      <c r="C324">
        <v>21.196556862745101</v>
      </c>
      <c r="D324">
        <v>79.021661764705797</v>
      </c>
      <c r="E324">
        <f t="shared" si="10"/>
        <v>857.31043497393534</v>
      </c>
      <c r="F324" s="34">
        <f t="shared" si="11"/>
        <v>262.90020135153236</v>
      </c>
      <c r="G324" t="str" cm="1">
        <f t="array" ref="G324">IFERROR(
  _xlfn.IFS(F324="Current City","No Direction",
    OR(F324&gt;=337.5,F324&lt;22.5),"N",
    F324&lt;67.5,"NE",
    F324&lt;112.5,"E",
    F324&lt;157.5,"SE",
    F324&lt;202.5,"S",
    F324&lt;247.5,"SW",
    F324&lt;292.5,"W",
    F324&lt;337.5,"NW"
  ), "No Direction"
)</f>
        <v>W</v>
      </c>
    </row>
    <row r="325" spans="1:7" x14ac:dyDescent="0.2">
      <c r="A325" t="s">
        <v>888</v>
      </c>
      <c r="B325" t="s">
        <v>941</v>
      </c>
      <c r="C325">
        <v>19.209316983017001</v>
      </c>
      <c r="D325">
        <v>77.682904895104897</v>
      </c>
      <c r="E325">
        <f t="shared" si="10"/>
        <v>1052.1404684806078</v>
      </c>
      <c r="F325" s="34">
        <f t="shared" si="11"/>
        <v>252.33080071457778</v>
      </c>
      <c r="G325" t="str" cm="1">
        <f t="array" ref="G325">IFERROR(
  _xlfn.IFS(F325="Current City","No Direction",
    OR(F325&gt;=337.5,F325&lt;22.5),"N",
    F325&lt;67.5,"NE",
    F325&lt;112.5,"E",
    F325&lt;157.5,"SE",
    F325&lt;202.5,"S",
    F325&lt;247.5,"SW",
    F325&lt;292.5,"W",
    F325&lt;337.5,"NW"
  ), "No Direction"
)</f>
        <v>W</v>
      </c>
    </row>
    <row r="326" spans="1:7" x14ac:dyDescent="0.2">
      <c r="A326" t="s">
        <v>888</v>
      </c>
      <c r="B326" t="s">
        <v>942</v>
      </c>
      <c r="C326">
        <v>21.523175625248101</v>
      </c>
      <c r="D326">
        <v>74.326387574434193</v>
      </c>
      <c r="E326">
        <f t="shared" si="10"/>
        <v>1333.812564334653</v>
      </c>
      <c r="F326" s="34">
        <f t="shared" si="11"/>
        <v>268.46166877728638</v>
      </c>
      <c r="G326" t="str" cm="1">
        <f t="array" ref="G326">IFERROR(
  _xlfn.IFS(F326="Current City","No Direction",
    OR(F326&gt;=337.5,F326&lt;22.5),"N",
    F326&lt;67.5,"NE",
    F326&lt;112.5,"E",
    F326&lt;157.5,"SE",
    F326&lt;202.5,"S",
    F326&lt;247.5,"SW",
    F326&lt;292.5,"W",
    F326&lt;337.5,"NW"
  ), "No Direction"
)</f>
        <v>W</v>
      </c>
    </row>
    <row r="327" spans="1:7" x14ac:dyDescent="0.2">
      <c r="A327" t="s">
        <v>888</v>
      </c>
      <c r="B327" t="s">
        <v>945</v>
      </c>
      <c r="C327">
        <v>20.266912871287101</v>
      </c>
      <c r="D327">
        <v>74.038241683168195</v>
      </c>
      <c r="E327">
        <f t="shared" si="10"/>
        <v>1385.7383351946598</v>
      </c>
      <c r="F327" s="34">
        <f t="shared" si="11"/>
        <v>262.8077480536931</v>
      </c>
      <c r="G327" t="str" cm="1">
        <f t="array" ref="G327">IFERROR(
  _xlfn.IFS(F327="Current City","No Direction",
    OR(F327&gt;=337.5,F327&lt;22.5),"N",
    F327&lt;67.5,"NE",
    F327&lt;112.5,"E",
    F327&lt;157.5,"SE",
    F327&lt;202.5,"S",
    F327&lt;247.5,"SW",
    F327&lt;292.5,"W",
    F327&lt;337.5,"NW"
  ), "No Direction"
)</f>
        <v>W</v>
      </c>
    </row>
    <row r="328" spans="1:7" x14ac:dyDescent="0.2">
      <c r="A328" t="s">
        <v>888</v>
      </c>
      <c r="B328" t="s">
        <v>948</v>
      </c>
      <c r="C328">
        <v>18.194594560669401</v>
      </c>
      <c r="D328">
        <v>75.994955753138001</v>
      </c>
      <c r="E328">
        <f t="shared" si="10"/>
        <v>1259.4301589107979</v>
      </c>
      <c r="F328" s="34">
        <f t="shared" si="11"/>
        <v>250.48050746596613</v>
      </c>
      <c r="G328" t="str" cm="1">
        <f t="array" ref="G328">IFERROR(
  _xlfn.IFS(F328="Current City","No Direction",
    OR(F328&gt;=337.5,F328&lt;22.5),"N",
    F328&lt;67.5,"NE",
    F328&lt;112.5,"E",
    F328&lt;157.5,"SE",
    F328&lt;202.5,"S",
    F328&lt;247.5,"SW",
    F328&lt;292.5,"W",
    F328&lt;337.5,"NW"
  ), "No Direction"
)</f>
        <v>W</v>
      </c>
    </row>
    <row r="329" spans="1:7" x14ac:dyDescent="0.2">
      <c r="A329" t="s">
        <v>888</v>
      </c>
      <c r="B329" t="s">
        <v>951</v>
      </c>
      <c r="C329">
        <v>19.310324252491601</v>
      </c>
      <c r="D329">
        <v>76.701633388704295</v>
      </c>
      <c r="E329">
        <f t="shared" si="10"/>
        <v>1145.0785216540023</v>
      </c>
      <c r="F329" s="34">
        <f t="shared" si="11"/>
        <v>254.73425100984792</v>
      </c>
      <c r="G329" t="str" cm="1">
        <f t="array" ref="G329">IFERROR(
  _xlfn.IFS(F329="Current City","No Direction",
    OR(F329&gt;=337.5,F329&lt;22.5),"N",
    F329&lt;67.5,"NE",
    F329&lt;112.5,"E",
    F329&lt;157.5,"SE",
    F329&lt;202.5,"S",
    F329&lt;247.5,"SW",
    F329&lt;292.5,"W",
    F329&lt;337.5,"NW"
  ), "No Direction"
)</f>
        <v>W</v>
      </c>
    </row>
    <row r="330" spans="1:7" x14ac:dyDescent="0.2">
      <c r="A330" t="s">
        <v>888</v>
      </c>
      <c r="B330" t="s">
        <v>954</v>
      </c>
      <c r="C330">
        <v>18.516961714285699</v>
      </c>
      <c r="D330">
        <v>74.129228816326403</v>
      </c>
      <c r="E330">
        <f t="shared" si="10"/>
        <v>1429.6185123367516</v>
      </c>
      <c r="F330" s="34">
        <f t="shared" si="11"/>
        <v>255.01201912748701</v>
      </c>
      <c r="G330" t="str" cm="1">
        <f t="array" ref="G330">IFERROR(
  _xlfn.IFS(F330="Current City","No Direction",
    OR(F330&gt;=337.5,F330&lt;22.5),"N",
    F330&lt;67.5,"NE",
    F330&lt;112.5,"E",
    F330&lt;157.5,"SE",
    F330&lt;202.5,"S",
    F330&lt;247.5,"SW",
    F330&lt;292.5,"W",
    F330&lt;337.5,"NW"
  ), "No Direction"
)</f>
        <v>W</v>
      </c>
    </row>
    <row r="331" spans="1:7" x14ac:dyDescent="0.2">
      <c r="A331" t="s">
        <v>888</v>
      </c>
      <c r="B331" t="s">
        <v>330</v>
      </c>
      <c r="C331">
        <v>18.453257637845901</v>
      </c>
      <c r="D331">
        <v>73.009060941857896</v>
      </c>
      <c r="E331">
        <f t="shared" si="10"/>
        <v>1543.5402026842121</v>
      </c>
      <c r="F331" s="34">
        <f t="shared" si="11"/>
        <v>256.25926127603134</v>
      </c>
      <c r="G331" t="str" cm="1">
        <f t="array" ref="G331">IFERROR(
  _xlfn.IFS(F331="Current City","No Direction",
    OR(F331&gt;=337.5,F331&lt;22.5),"N",
    F331&lt;67.5,"NE",
    F331&lt;112.5,"E",
    F331&lt;157.5,"SE",
    F331&lt;202.5,"S",
    F331&lt;247.5,"SW",
    F331&lt;292.5,"W",
    F331&lt;337.5,"NW"
  ), "No Direction"
)</f>
        <v>W</v>
      </c>
    </row>
    <row r="332" spans="1:7" x14ac:dyDescent="0.2">
      <c r="A332" t="s">
        <v>888</v>
      </c>
      <c r="B332" t="s">
        <v>958</v>
      </c>
      <c r="C332">
        <v>17.2101950701277</v>
      </c>
      <c r="D332">
        <v>73.257258938663995</v>
      </c>
      <c r="E332">
        <f t="shared" si="10"/>
        <v>1569.0154356948758</v>
      </c>
      <c r="F332" s="34">
        <f t="shared" si="11"/>
        <v>251.11218066492168</v>
      </c>
      <c r="G332" t="str" cm="1">
        <f t="array" ref="G332">IFERROR(
  _xlfn.IFS(F332="Current City","No Direction",
    OR(F332&gt;=337.5,F332&lt;22.5),"N",
    F332&lt;67.5,"NE",
    F332&lt;112.5,"E",
    F332&lt;157.5,"SE",
    F332&lt;202.5,"S",
    F332&lt;247.5,"SW",
    F332&lt;292.5,"W",
    F332&lt;337.5,"NW"
  ), "No Direction"
)</f>
        <v>W</v>
      </c>
    </row>
    <row r="333" spans="1:7" x14ac:dyDescent="0.2">
      <c r="A333" t="s">
        <v>888</v>
      </c>
      <c r="B333" t="s">
        <v>961</v>
      </c>
      <c r="C333">
        <v>17.154930181086499</v>
      </c>
      <c r="D333">
        <v>74.707138229376199</v>
      </c>
      <c r="E333">
        <f t="shared" si="10"/>
        <v>1431.6649485729745</v>
      </c>
      <c r="F333" s="34">
        <f t="shared" si="11"/>
        <v>248.4122556314324</v>
      </c>
      <c r="G333" t="str" cm="1">
        <f t="array" ref="G333">IFERROR(
  _xlfn.IFS(F333="Current City","No Direction",
    OR(F333&gt;=337.5,F333&lt;22.5),"N",
    F333&lt;67.5,"NE",
    F333&lt;112.5,"E",
    F333&lt;157.5,"SE",
    F333&lt;202.5,"S",
    F333&lt;247.5,"SW",
    F333&lt;292.5,"W",
    F333&lt;337.5,"NW"
  ), "No Direction"
)</f>
        <v>W</v>
      </c>
    </row>
    <row r="334" spans="1:7" x14ac:dyDescent="0.2">
      <c r="A334" t="s">
        <v>888</v>
      </c>
      <c r="B334" t="s">
        <v>964</v>
      </c>
      <c r="C334">
        <v>17.6737908974359</v>
      </c>
      <c r="D334">
        <v>74.180520641025495</v>
      </c>
      <c r="E334">
        <f t="shared" si="10"/>
        <v>1458.6639811313171</v>
      </c>
      <c r="F334" s="34">
        <f t="shared" si="11"/>
        <v>251.43748523641423</v>
      </c>
      <c r="G334" t="str" cm="1">
        <f t="array" ref="G334">IFERROR(
  _xlfn.IFS(F334="Current City","No Direction",
    OR(F334&gt;=337.5,F334&lt;22.5),"N",
    F334&lt;67.5,"NE",
    F334&lt;112.5,"E",
    F334&lt;157.5,"SE",
    F334&lt;202.5,"S",
    F334&lt;247.5,"SW",
    F334&lt;292.5,"W",
    F334&lt;337.5,"NW"
  ), "No Direction"
)</f>
        <v>W</v>
      </c>
    </row>
    <row r="335" spans="1:7" x14ac:dyDescent="0.2">
      <c r="A335" t="s">
        <v>888</v>
      </c>
      <c r="B335" t="s">
        <v>966</v>
      </c>
      <c r="C335">
        <v>16.170948049777099</v>
      </c>
      <c r="D335">
        <v>73.513290081723397</v>
      </c>
      <c r="E335">
        <f t="shared" si="10"/>
        <v>1594.4995179713812</v>
      </c>
      <c r="F335" s="34">
        <f t="shared" si="11"/>
        <v>246.86705359149221</v>
      </c>
      <c r="G335" t="str" cm="1">
        <f t="array" ref="G335">IFERROR(
  _xlfn.IFS(F335="Current City","No Direction",
    OR(F335&gt;=337.5,F335&lt;22.5),"N",
    F335&lt;67.5,"NE",
    F335&lt;112.5,"E",
    F335&lt;157.5,"SE",
    F335&lt;202.5,"S",
    F335&lt;247.5,"SW",
    F335&lt;292.5,"W",
    F335&lt;337.5,"NW"
  ), "No Direction"
)</f>
        <v>SW</v>
      </c>
    </row>
    <row r="336" spans="1:7" x14ac:dyDescent="0.2">
      <c r="A336" t="s">
        <v>888</v>
      </c>
      <c r="B336" t="s">
        <v>969</v>
      </c>
      <c r="C336">
        <v>17.837357937584802</v>
      </c>
      <c r="D336">
        <v>75.423948236092102</v>
      </c>
      <c r="E336">
        <f t="shared" si="10"/>
        <v>1330.7013487407758</v>
      </c>
      <c r="F336" s="34">
        <f t="shared" si="11"/>
        <v>249.94561554663812</v>
      </c>
      <c r="G336" t="str" cm="1">
        <f t="array" ref="G336">IFERROR(
  _xlfn.IFS(F336="Current City","No Direction",
    OR(F336&gt;=337.5,F336&lt;22.5),"N",
    F336&lt;67.5,"NE",
    F336&lt;112.5,"E",
    F336&lt;157.5,"SE",
    F336&lt;202.5,"S",
    F336&lt;247.5,"SW",
    F336&lt;292.5,"W",
    F336&lt;337.5,"NW"
  ), "No Direction"
)</f>
        <v>W</v>
      </c>
    </row>
    <row r="337" spans="1:7" x14ac:dyDescent="0.2">
      <c r="A337" t="s">
        <v>888</v>
      </c>
      <c r="B337" t="s">
        <v>972</v>
      </c>
      <c r="C337">
        <v>19.698767747440201</v>
      </c>
      <c r="D337">
        <v>72.798827425645797</v>
      </c>
      <c r="E337">
        <f t="shared" si="10"/>
        <v>1526.0735252821348</v>
      </c>
      <c r="F337" s="34">
        <f t="shared" si="11"/>
        <v>261.50639314190482</v>
      </c>
      <c r="G337" t="str" cm="1">
        <f t="array" ref="G337">IFERROR(
  _xlfn.IFS(F337="Current City","No Direction",
    OR(F337&gt;=337.5,F337&lt;22.5),"N",
    F337&lt;67.5,"NE",
    F337&lt;112.5,"E",
    F337&lt;157.5,"SE",
    F337&lt;202.5,"S",
    F337&lt;247.5,"SW",
    F337&lt;292.5,"W",
    F337&lt;337.5,"NW"
  ), "No Direction"
)</f>
        <v>W</v>
      </c>
    </row>
    <row r="338" spans="1:7" x14ac:dyDescent="0.2">
      <c r="A338" t="s">
        <v>888</v>
      </c>
      <c r="B338" t="s">
        <v>975</v>
      </c>
      <c r="C338">
        <v>20.807430243902399</v>
      </c>
      <c r="D338">
        <v>78.572591056910596</v>
      </c>
      <c r="E338">
        <f t="shared" si="10"/>
        <v>911.51303656063124</v>
      </c>
      <c r="F338" s="34">
        <f t="shared" si="11"/>
        <v>260.7362465358089</v>
      </c>
      <c r="G338" t="str" cm="1">
        <f t="array" ref="G338">IFERROR(
  _xlfn.IFS(F338="Current City","No Direction",
    OR(F338&gt;=337.5,F338&lt;22.5),"N",
    F338&lt;67.5,"NE",
    F338&lt;112.5,"E",
    F338&lt;157.5,"SE",
    F338&lt;202.5,"S",
    F338&lt;247.5,"SW",
    F338&lt;292.5,"W",
    F338&lt;337.5,"NW"
  ), "No Direction"
)</f>
        <v>W</v>
      </c>
    </row>
    <row r="339" spans="1:7" x14ac:dyDescent="0.2">
      <c r="A339" t="s">
        <v>888</v>
      </c>
      <c r="B339" t="s">
        <v>978</v>
      </c>
      <c r="C339">
        <v>20.282282394366199</v>
      </c>
      <c r="D339">
        <v>77.255023943661996</v>
      </c>
      <c r="E339">
        <f t="shared" si="10"/>
        <v>1058.5135156327258</v>
      </c>
      <c r="F339" s="34">
        <f t="shared" si="11"/>
        <v>259.27671387749456</v>
      </c>
      <c r="G339" t="str" cm="1">
        <f t="array" ref="G339">IFERROR(
  _xlfn.IFS(F339="Current City","No Direction",
    OR(F339&gt;=337.5,F339&lt;22.5),"N",
    F339&lt;67.5,"NE",
    F339&lt;112.5,"E",
    F339&lt;157.5,"SE",
    F339&lt;202.5,"S",
    F339&lt;247.5,"SW",
    F339&lt;292.5,"W",
    F339&lt;337.5,"NW"
  ), "No Direction"
)</f>
        <v>W</v>
      </c>
    </row>
    <row r="340" spans="1:7" x14ac:dyDescent="0.2">
      <c r="A340" t="s">
        <v>888</v>
      </c>
      <c r="B340" t="s">
        <v>981</v>
      </c>
      <c r="C340">
        <v>20.042583467381501</v>
      </c>
      <c r="D340">
        <v>78.053263717604693</v>
      </c>
      <c r="E340">
        <f t="shared" si="10"/>
        <v>985.37219219938686</v>
      </c>
      <c r="F340" s="34">
        <f t="shared" si="11"/>
        <v>256.57256284074032</v>
      </c>
      <c r="G340" t="str" cm="1">
        <f t="array" ref="G340">IFERROR(
  _xlfn.IFS(F340="Current City","No Direction",
    OR(F340&gt;=337.5,F340&lt;22.5),"N",
    F340&lt;67.5,"NE",
    F340&lt;112.5,"E",
    F340&lt;157.5,"SE",
    F340&lt;202.5,"S",
    F340&lt;247.5,"SW",
    F340&lt;292.5,"W",
    F340&lt;337.5,"NW"
  ), "No Direction"
)</f>
        <v>W</v>
      </c>
    </row>
    <row r="341" spans="1:7" x14ac:dyDescent="0.2">
      <c r="A341" t="s">
        <v>984</v>
      </c>
      <c r="B341" t="s">
        <v>985</v>
      </c>
      <c r="C341">
        <v>24.5071211180124</v>
      </c>
      <c r="D341">
        <v>93.824623602484493</v>
      </c>
      <c r="E341">
        <f t="shared" si="10"/>
        <v>713.90434134606801</v>
      </c>
      <c r="F341" s="34">
        <f t="shared" si="11"/>
        <v>69.125839545283213</v>
      </c>
      <c r="G341" t="str" cm="1">
        <f t="array" ref="G341">IFERROR(
  _xlfn.IFS(F341="Current City","No Direction",
    OR(F341&gt;=337.5,F341&lt;22.5),"N",
    F341&lt;67.5,"NE",
    F341&lt;112.5,"E",
    F341&lt;157.5,"SE",
    F341&lt;202.5,"S",
    F341&lt;247.5,"SW",
    F341&lt;292.5,"W",
    F341&lt;337.5,"NW"
  ), "No Direction"
)</f>
        <v>E</v>
      </c>
    </row>
    <row r="342" spans="1:7" x14ac:dyDescent="0.2">
      <c r="A342" t="s">
        <v>984</v>
      </c>
      <c r="B342" t="s">
        <v>987</v>
      </c>
      <c r="C342">
        <v>24.2635812987013</v>
      </c>
      <c r="D342">
        <v>94.094438441558395</v>
      </c>
      <c r="E342">
        <f t="shared" si="10"/>
        <v>732.2070305880801</v>
      </c>
      <c r="F342" s="34">
        <f t="shared" si="11"/>
        <v>71.813462084054663</v>
      </c>
      <c r="G342" t="str" cm="1">
        <f t="array" ref="G342">IFERROR(
  _xlfn.IFS(F342="Current City","No Direction",
    OR(F342&gt;=337.5,F342&lt;22.5),"N",
    F342&lt;67.5,"NE",
    F342&lt;112.5,"E",
    F342&lt;157.5,"SE",
    F342&lt;202.5,"S",
    F342&lt;247.5,"SW",
    F342&lt;292.5,"W",
    F342&lt;337.5,"NW"
  ), "No Direction"
)</f>
        <v>E</v>
      </c>
    </row>
    <row r="343" spans="1:7" x14ac:dyDescent="0.2">
      <c r="A343" t="s">
        <v>984</v>
      </c>
      <c r="B343" t="s">
        <v>989</v>
      </c>
      <c r="C343">
        <v>24.303097188755</v>
      </c>
      <c r="D343">
        <v>93.386715060240803</v>
      </c>
      <c r="E343">
        <f t="shared" si="10"/>
        <v>664.71906044961702</v>
      </c>
      <c r="F343" s="34">
        <f t="shared" si="11"/>
        <v>69.78053351655899</v>
      </c>
      <c r="G343" t="str" cm="1">
        <f t="array" ref="G343">IFERROR(
  _xlfn.IFS(F343="Current City","No Direction",
    OR(F343&gt;=337.5,F343&lt;22.5),"N",
    F343&lt;67.5,"NE",
    F343&lt;112.5,"E",
    F343&lt;157.5,"SE",
    F343&lt;202.5,"S",
    F343&lt;247.5,"SW",
    F343&lt;292.5,"W",
    F343&lt;337.5,"NW"
  ), "No Direction"
)</f>
        <v>E</v>
      </c>
    </row>
    <row r="344" spans="1:7" x14ac:dyDescent="0.2">
      <c r="A344" t="s">
        <v>984</v>
      </c>
      <c r="B344" t="s">
        <v>992</v>
      </c>
      <c r="C344">
        <v>24.821058072289102</v>
      </c>
      <c r="D344">
        <v>93.669512048192601</v>
      </c>
      <c r="E344">
        <f t="shared" si="10"/>
        <v>710.98698879600204</v>
      </c>
      <c r="F344" s="34">
        <f t="shared" si="11"/>
        <v>66.050649783782887</v>
      </c>
      <c r="G344" t="str" cm="1">
        <f t="array" ref="G344">IFERROR(
  _xlfn.IFS(F344="Current City","No Direction",
    OR(F344&gt;=337.5,F344&lt;22.5),"N",
    F344&lt;67.5,"NE",
    F344&lt;112.5,"E",
    F344&lt;157.5,"SE",
    F344&lt;202.5,"S",
    F344&lt;247.5,"SW",
    F344&lt;292.5,"W",
    F344&lt;337.5,"NW"
  ), "No Direction"
)</f>
        <v>NE</v>
      </c>
    </row>
    <row r="345" spans="1:7" x14ac:dyDescent="0.2">
      <c r="A345" t="s">
        <v>984</v>
      </c>
      <c r="B345" t="s">
        <v>995</v>
      </c>
      <c r="C345">
        <v>25.084655860349098</v>
      </c>
      <c r="D345">
        <v>94.033662344139501</v>
      </c>
      <c r="E345">
        <f t="shared" si="10"/>
        <v>755.96541777500852</v>
      </c>
      <c r="F345" s="34">
        <f t="shared" si="11"/>
        <v>64.988689992681884</v>
      </c>
      <c r="G345" t="str" cm="1">
        <f t="array" ref="G345">IFERROR(
  _xlfn.IFS(F345="Current City","No Direction",
    OR(F345&gt;=337.5,F345&lt;22.5),"N",
    F345&lt;67.5,"NE",
    F345&lt;112.5,"E",
    F345&lt;157.5,"SE",
    F345&lt;202.5,"S",
    F345&lt;247.5,"SW",
    F345&lt;292.5,"W",
    F345&lt;337.5,"NW"
  ), "No Direction"
)</f>
        <v>NE</v>
      </c>
    </row>
    <row r="346" spans="1:7" x14ac:dyDescent="0.2">
      <c r="A346" t="s">
        <v>984</v>
      </c>
      <c r="B346" t="s">
        <v>998</v>
      </c>
      <c r="C346">
        <v>24.9831294223826</v>
      </c>
      <c r="D346">
        <v>93.494507400722</v>
      </c>
      <c r="E346">
        <f t="shared" si="10"/>
        <v>701.51467666730355</v>
      </c>
      <c r="F346" s="34">
        <f t="shared" si="11"/>
        <v>64.14995278074241</v>
      </c>
      <c r="G346" t="str" cm="1">
        <f t="array" ref="G346">IFERROR(
  _xlfn.IFS(F346="Current City","No Direction",
    OR(F346&gt;=337.5,F346&lt;22.5),"N",
    F346&lt;67.5,"NE",
    F346&lt;112.5,"E",
    F346&lt;157.5,"SE",
    F346&lt;202.5,"S",
    F346&lt;247.5,"SW",
    F346&lt;292.5,"W",
    F346&lt;337.5,"NW"
  ), "No Direction"
)</f>
        <v>NE</v>
      </c>
    </row>
    <row r="347" spans="1:7" x14ac:dyDescent="0.2">
      <c r="A347" t="s">
        <v>984</v>
      </c>
      <c r="B347" t="s">
        <v>1001</v>
      </c>
      <c r="C347">
        <v>24.545392553191402</v>
      </c>
      <c r="D347">
        <v>93.979598936170206</v>
      </c>
      <c r="E347">
        <f t="shared" si="10"/>
        <v>730.12704151551941</v>
      </c>
      <c r="F347" s="34">
        <f t="shared" si="11"/>
        <v>69.193383542030745</v>
      </c>
      <c r="G347" t="str" cm="1">
        <f t="array" ref="G347">IFERROR(
  _xlfn.IFS(F347="Current City","No Direction",
    OR(F347&gt;=337.5,F347&lt;22.5),"N",
    F347&lt;67.5,"NE",
    F347&lt;112.5,"E",
    F347&lt;157.5,"SE",
    F347&lt;202.5,"S",
    F347&lt;247.5,"SW",
    F347&lt;292.5,"W",
    F347&lt;337.5,"NW"
  ), "No Direction"
)</f>
        <v>E</v>
      </c>
    </row>
    <row r="348" spans="1:7" x14ac:dyDescent="0.2">
      <c r="A348" t="s">
        <v>984</v>
      </c>
      <c r="B348" t="s">
        <v>1004</v>
      </c>
      <c r="C348">
        <v>25.059003149606198</v>
      </c>
      <c r="D348">
        <v>94.441295669291307</v>
      </c>
      <c r="E348">
        <f t="shared" si="10"/>
        <v>793.11146801369023</v>
      </c>
      <c r="F348" s="34">
        <f t="shared" si="11"/>
        <v>66.302937342582425</v>
      </c>
      <c r="G348" t="str" cm="1">
        <f t="array" ref="G348">IFERROR(
  _xlfn.IFS(F348="Current City","No Direction",
    OR(F348&gt;=337.5,F348&lt;22.5),"N",
    F348&lt;67.5,"NE",
    F348&lt;112.5,"E",
    F348&lt;157.5,"SE",
    F348&lt;202.5,"S",
    F348&lt;247.5,"SW",
    F348&lt;292.5,"W",
    F348&lt;337.5,"NW"
  ), "No Direction"
)</f>
        <v>NE</v>
      </c>
    </row>
    <row r="349" spans="1:7" x14ac:dyDescent="0.2">
      <c r="A349" t="s">
        <v>984</v>
      </c>
      <c r="B349" t="s">
        <v>1007</v>
      </c>
      <c r="C349">
        <v>24.7940055865921</v>
      </c>
      <c r="D349">
        <v>93.888590502793207</v>
      </c>
      <c r="E349">
        <f t="shared" si="10"/>
        <v>730.57188366165553</v>
      </c>
      <c r="F349" s="34">
        <f t="shared" si="11"/>
        <v>66.902935004594269</v>
      </c>
      <c r="G349" t="str" cm="1">
        <f t="array" ref="G349">IFERROR(
  _xlfn.IFS(F349="Current City","No Direction",
    OR(F349&gt;=337.5,F349&lt;22.5),"N",
    F349&lt;67.5,"NE",
    F349&lt;112.5,"E",
    F349&lt;157.5,"SE",
    F349&lt;202.5,"S",
    F349&lt;247.5,"SW",
    F349&lt;292.5,"W",
    F349&lt;337.5,"NW"
  ), "No Direction"
)</f>
        <v>NE</v>
      </c>
    </row>
    <row r="350" spans="1:7" x14ac:dyDescent="0.2">
      <c r="A350" t="s">
        <v>1010</v>
      </c>
      <c r="B350" t="s">
        <v>1011</v>
      </c>
      <c r="C350">
        <v>25.827282282282201</v>
      </c>
      <c r="D350">
        <v>90.646849249249101</v>
      </c>
      <c r="E350">
        <f t="shared" si="10"/>
        <v>518.88919591130639</v>
      </c>
      <c r="F350" s="34">
        <f t="shared" si="11"/>
        <v>41.239956718169196</v>
      </c>
      <c r="G350" t="str" cm="1">
        <f t="array" ref="G350">IFERROR(
  _xlfn.IFS(F350="Current City","No Direction",
    OR(F350&gt;=337.5,F350&lt;22.5),"N",
    F350&lt;67.5,"NE",
    F350&lt;112.5,"E",
    F350&lt;157.5,"SE",
    F350&lt;202.5,"S",
    F350&lt;247.5,"SW",
    F350&lt;292.5,"W",
    F350&lt;337.5,"NW"
  ), "No Direction"
)</f>
        <v>NE</v>
      </c>
    </row>
    <row r="351" spans="1:7" x14ac:dyDescent="0.2">
      <c r="A351" t="s">
        <v>1010</v>
      </c>
      <c r="B351" t="s">
        <v>1014</v>
      </c>
      <c r="C351">
        <v>25.303763888888799</v>
      </c>
      <c r="D351">
        <v>91.759225198412693</v>
      </c>
      <c r="E351">
        <f t="shared" si="10"/>
        <v>565.30483603172388</v>
      </c>
      <c r="F351" s="34">
        <f t="shared" si="11"/>
        <v>53.654229555157826</v>
      </c>
      <c r="G351" t="str" cm="1">
        <f t="array" ref="G351">IFERROR(
  _xlfn.IFS(F351="Current City","No Direction",
    OR(F351&gt;=337.5,F351&lt;22.5),"N",
    F351&lt;67.5,"NE",
    F351&lt;112.5,"E",
    F351&lt;157.5,"SE",
    F351&lt;202.5,"S",
    F351&lt;247.5,"SW",
    F351&lt;292.5,"W",
    F351&lt;337.5,"NW"
  ), "No Direction"
)</f>
        <v>NE</v>
      </c>
    </row>
    <row r="352" spans="1:7" x14ac:dyDescent="0.2">
      <c r="A352" t="s">
        <v>1010</v>
      </c>
      <c r="B352" t="s">
        <v>1017</v>
      </c>
      <c r="C352">
        <v>25.3395955706984</v>
      </c>
      <c r="D352">
        <v>92.376081601362898</v>
      </c>
      <c r="E352">
        <f t="shared" si="10"/>
        <v>619.53382702751003</v>
      </c>
      <c r="F352" s="34">
        <f t="shared" si="11"/>
        <v>56.594117060209044</v>
      </c>
      <c r="G352" t="str" cm="1">
        <f t="array" ref="G352">IFERROR(
  _xlfn.IFS(F352="Current City","No Direction",
    OR(F352&gt;=337.5,F352&lt;22.5),"N",
    F352&lt;67.5,"NE",
    F352&lt;112.5,"E",
    F352&lt;157.5,"SE",
    F352&lt;202.5,"S",
    F352&lt;247.5,"SW",
    F352&lt;292.5,"W",
    F352&lt;337.5,"NW"
  ), "No Direction"
)</f>
        <v>NE</v>
      </c>
    </row>
    <row r="353" spans="1:7" x14ac:dyDescent="0.2">
      <c r="A353" t="s">
        <v>1010</v>
      </c>
      <c r="B353" t="s">
        <v>1020</v>
      </c>
      <c r="C353">
        <v>25.897066004414899</v>
      </c>
      <c r="D353">
        <v>91.845161589403901</v>
      </c>
      <c r="E353">
        <f t="shared" si="10"/>
        <v>611.77063355292034</v>
      </c>
      <c r="F353" s="34">
        <f t="shared" si="11"/>
        <v>49.006963298846244</v>
      </c>
      <c r="G353" t="str" cm="1">
        <f t="array" ref="G353">IFERROR(
  _xlfn.IFS(F353="Current City","No Direction",
    OR(F353&gt;=337.5,F353&lt;22.5),"N",
    F353&lt;67.5,"NE",
    F353&lt;112.5,"E",
    F353&lt;157.5,"SE",
    F353&lt;202.5,"S",
    F353&lt;247.5,"SW",
    F353&lt;292.5,"W",
    F353&lt;337.5,"NW"
  ), "No Direction"
)</f>
        <v>NE</v>
      </c>
    </row>
    <row r="354" spans="1:7" x14ac:dyDescent="0.2">
      <c r="A354" t="s">
        <v>1010</v>
      </c>
      <c r="B354" t="s">
        <v>1022</v>
      </c>
      <c r="C354">
        <v>25.240568578553599</v>
      </c>
      <c r="D354">
        <v>90.6456034912717</v>
      </c>
      <c r="E354">
        <f t="shared" si="10"/>
        <v>472.86483600181543</v>
      </c>
      <c r="F354" s="34">
        <f t="shared" si="11"/>
        <v>46.595619184168186</v>
      </c>
      <c r="G354" t="str" cm="1">
        <f t="array" ref="G354">IFERROR(
  _xlfn.IFS(F354="Current City","No Direction",
    OR(F354&gt;=337.5,F354&lt;22.5),"N",
    F354&lt;67.5,"NE",
    F354&lt;112.5,"E",
    F354&lt;157.5,"SE",
    F354&lt;202.5,"S",
    F354&lt;247.5,"SW",
    F354&lt;292.5,"W",
    F354&lt;337.5,"NW"
  ), "No Direction"
)</f>
        <v>NE</v>
      </c>
    </row>
    <row r="355" spans="1:7" x14ac:dyDescent="0.2">
      <c r="A355" t="s">
        <v>1010</v>
      </c>
      <c r="B355" t="s">
        <v>1025</v>
      </c>
      <c r="C355">
        <v>25.4952851851851</v>
      </c>
      <c r="D355">
        <v>90.037099470899406</v>
      </c>
      <c r="E355">
        <f t="shared" si="10"/>
        <v>450.83071123720191</v>
      </c>
      <c r="F355" s="34">
        <f t="shared" si="11"/>
        <v>38.680757760901486</v>
      </c>
      <c r="G355" t="str" cm="1">
        <f t="array" ref="G355">IFERROR(
  _xlfn.IFS(F355="Current City","No Direction",
    OR(F355&gt;=337.5,F355&lt;22.5),"N",
    F355&lt;67.5,"NE",
    F355&lt;112.5,"E",
    F355&lt;157.5,"SE",
    F355&lt;202.5,"S",
    F355&lt;247.5,"SW",
    F355&lt;292.5,"W",
    F355&lt;337.5,"NW"
  ), "No Direction"
)</f>
        <v>NE</v>
      </c>
    </row>
    <row r="356" spans="1:7" x14ac:dyDescent="0.2">
      <c r="A356" t="s">
        <v>1010</v>
      </c>
      <c r="B356" t="s">
        <v>1028</v>
      </c>
      <c r="C356">
        <v>25.500889926739902</v>
      </c>
      <c r="D356">
        <v>91.253645421245295</v>
      </c>
      <c r="E356">
        <f t="shared" si="10"/>
        <v>538.01156136344571</v>
      </c>
      <c r="F356" s="34">
        <f t="shared" si="11"/>
        <v>48.648297375347852</v>
      </c>
      <c r="G356" t="str" cm="1">
        <f t="array" ref="G356">IFERROR(
  _xlfn.IFS(F356="Current City","No Direction",
    OR(F356&gt;=337.5,F356&lt;22.5),"N",
    F356&lt;67.5,"NE",
    F356&lt;112.5,"E",
    F356&lt;157.5,"SE",
    F356&lt;202.5,"S",
    F356&lt;247.5,"SW",
    F356&lt;292.5,"W",
    F356&lt;337.5,"NW"
  ), "No Direction"
)</f>
        <v>NE</v>
      </c>
    </row>
    <row r="357" spans="1:7" x14ac:dyDescent="0.2">
      <c r="A357" t="s">
        <v>1031</v>
      </c>
      <c r="B357" t="s">
        <v>1032</v>
      </c>
      <c r="C357">
        <v>23.907813354531001</v>
      </c>
      <c r="D357">
        <v>92.853594594594696</v>
      </c>
      <c r="E357">
        <f t="shared" si="10"/>
        <v>600.2509331717996</v>
      </c>
      <c r="F357" s="34">
        <f t="shared" si="11"/>
        <v>72.190901685054769</v>
      </c>
      <c r="G357" t="str" cm="1">
        <f t="array" ref="G357">IFERROR(
  _xlfn.IFS(F357="Current City","No Direction",
    OR(F357&gt;=337.5,F357&lt;22.5),"N",
    F357&lt;67.5,"NE",
    F357&lt;112.5,"E",
    F357&lt;157.5,"SE",
    F357&lt;202.5,"S",
    F357&lt;247.5,"SW",
    F357&lt;292.5,"W",
    F357&lt;337.5,"NW"
  ), "No Direction"
)</f>
        <v>E</v>
      </c>
    </row>
    <row r="358" spans="1:7" x14ac:dyDescent="0.2">
      <c r="A358" t="s">
        <v>1031</v>
      </c>
      <c r="B358" t="s">
        <v>1035</v>
      </c>
      <c r="C358">
        <v>23.541665809768599</v>
      </c>
      <c r="D358">
        <v>93.242217994858606</v>
      </c>
      <c r="E358">
        <f t="shared" si="10"/>
        <v>629.44358828243742</v>
      </c>
      <c r="F358" s="34">
        <f t="shared" si="11"/>
        <v>76.737441297601265</v>
      </c>
      <c r="G358" t="str" cm="1">
        <f t="array" ref="G358">IFERROR(
  _xlfn.IFS(F358="Current City","No Direction",
    OR(F358&gt;=337.5,F358&lt;22.5),"N",
    F358&lt;67.5,"NE",
    F358&lt;112.5,"E",
    F358&lt;157.5,"SE",
    F358&lt;202.5,"S",
    F358&lt;247.5,"SW",
    F358&lt;292.5,"W",
    F358&lt;337.5,"NW"
  ), "No Direction"
)</f>
        <v>E</v>
      </c>
    </row>
    <row r="359" spans="1:7" x14ac:dyDescent="0.2">
      <c r="A359" t="s">
        <v>1031</v>
      </c>
      <c r="B359" t="s">
        <v>1038</v>
      </c>
      <c r="C359">
        <v>24.202000434782502</v>
      </c>
      <c r="D359">
        <v>92.734703913043404</v>
      </c>
      <c r="E359">
        <f t="shared" si="10"/>
        <v>598.44151044691739</v>
      </c>
      <c r="F359" s="34">
        <f t="shared" si="11"/>
        <v>68.856677212382522</v>
      </c>
      <c r="G359" t="str" cm="1">
        <f t="array" ref="G359">IFERROR(
  _xlfn.IFS(F359="Current City","No Direction",
    OR(F359&gt;=337.5,F359&lt;22.5),"N",
    F359&lt;67.5,"NE",
    F359&lt;112.5,"E",
    F359&lt;157.5,"SE",
    F359&lt;202.5,"S",
    F359&lt;247.5,"SW",
    F359&lt;292.5,"W",
    F359&lt;337.5,"NW"
  ), "No Direction"
)</f>
        <v>E</v>
      </c>
    </row>
    <row r="360" spans="1:7" x14ac:dyDescent="0.2">
      <c r="A360" t="s">
        <v>1031</v>
      </c>
      <c r="B360" t="s">
        <v>1041</v>
      </c>
      <c r="C360">
        <v>22.3610284313725</v>
      </c>
      <c r="D360">
        <v>92.669641568627497</v>
      </c>
      <c r="E360">
        <f t="shared" si="10"/>
        <v>559.25607100472757</v>
      </c>
      <c r="F360" s="34">
        <f t="shared" si="11"/>
        <v>88.895136800172622</v>
      </c>
      <c r="G360" t="str" cm="1">
        <f t="array" ref="G360">IFERROR(
  _xlfn.IFS(F360="Current City","No Direction",
    OR(F360&gt;=337.5,F360&lt;22.5),"N",
    F360&lt;67.5,"NE",
    F360&lt;112.5,"E",
    F360&lt;157.5,"SE",
    F360&lt;202.5,"S",
    F360&lt;247.5,"SW",
    F360&lt;292.5,"W",
    F360&lt;337.5,"NW"
  ), "No Direction"
)</f>
        <v>E</v>
      </c>
    </row>
    <row r="361" spans="1:7" x14ac:dyDescent="0.2">
      <c r="A361" t="s">
        <v>1031</v>
      </c>
      <c r="B361" t="s">
        <v>1044</v>
      </c>
      <c r="C361">
        <v>23.0077170361726</v>
      </c>
      <c r="D361">
        <v>92.635125554258906</v>
      </c>
      <c r="E361">
        <f t="shared" si="10"/>
        <v>559.1346817427841</v>
      </c>
      <c r="F361" s="34">
        <f t="shared" si="11"/>
        <v>81.503830243194898</v>
      </c>
      <c r="G361" t="str" cm="1">
        <f t="array" ref="G361">IFERROR(
  _xlfn.IFS(F361="Current City","No Direction",
    OR(F361&gt;=337.5,F361&lt;22.5),"N",
    F361&lt;67.5,"NE",
    F361&lt;112.5,"E",
    F361&lt;157.5,"SE",
    F361&lt;202.5,"S",
    F361&lt;247.5,"SW",
    F361&lt;292.5,"W",
    F361&lt;337.5,"NW"
  ), "No Direction"
)</f>
        <v>E</v>
      </c>
    </row>
    <row r="362" spans="1:7" x14ac:dyDescent="0.2">
      <c r="A362" t="s">
        <v>1031</v>
      </c>
      <c r="B362" t="s">
        <v>1047</v>
      </c>
      <c r="C362">
        <v>23.738529425028101</v>
      </c>
      <c r="D362">
        <v>92.433080383314703</v>
      </c>
      <c r="E362">
        <f t="shared" si="10"/>
        <v>554.01876030130268</v>
      </c>
      <c r="F362" s="34">
        <f t="shared" si="11"/>
        <v>72.870141459735692</v>
      </c>
      <c r="G362" t="str" cm="1">
        <f t="array" ref="G362">IFERROR(
  _xlfn.IFS(F362="Current City","No Direction",
    OR(F362&gt;=337.5,F362&lt;22.5),"N",
    F362&lt;67.5,"NE",
    F362&lt;112.5,"E",
    F362&lt;157.5,"SE",
    F362&lt;202.5,"S",
    F362&lt;247.5,"SW",
    F362&lt;292.5,"W",
    F362&lt;337.5,"NW"
  ), "No Direction"
)</f>
        <v>E</v>
      </c>
    </row>
    <row r="363" spans="1:7" x14ac:dyDescent="0.2">
      <c r="A363" t="s">
        <v>1031</v>
      </c>
      <c r="B363" t="s">
        <v>1049</v>
      </c>
      <c r="C363">
        <v>22.35744801061</v>
      </c>
      <c r="D363">
        <v>93.0282793103448</v>
      </c>
      <c r="E363">
        <f t="shared" si="10"/>
        <v>596.13779670441818</v>
      </c>
      <c r="F363" s="34">
        <f t="shared" si="11"/>
        <v>88.869423267134152</v>
      </c>
      <c r="G363" t="str" cm="1">
        <f t="array" ref="G363">IFERROR(
  _xlfn.IFS(F363="Current City","No Direction",
    OR(F363&gt;=337.5,F363&lt;22.5),"N",
    F363&lt;67.5,"NE",
    F363&lt;112.5,"E",
    F363&lt;157.5,"SE",
    F363&lt;202.5,"S",
    F363&lt;247.5,"SW",
    F363&lt;292.5,"W",
    F363&lt;337.5,"NW"
  ), "No Direction"
)</f>
        <v>E</v>
      </c>
    </row>
    <row r="364" spans="1:7" x14ac:dyDescent="0.2">
      <c r="A364" t="s">
        <v>1031</v>
      </c>
      <c r="B364" t="s">
        <v>1052</v>
      </c>
      <c r="C364">
        <v>23.263864705882298</v>
      </c>
      <c r="D364">
        <v>92.914158496732</v>
      </c>
      <c r="E364">
        <f t="shared" si="10"/>
        <v>591.17804377795483</v>
      </c>
      <c r="F364" s="34">
        <f t="shared" si="11"/>
        <v>79.062267074145041</v>
      </c>
      <c r="G364" t="str" cm="1">
        <f t="array" ref="G364">IFERROR(
  _xlfn.IFS(F364="Current City","No Direction",
    OR(F364&gt;=337.5,F364&lt;22.5),"N",
    F364&lt;67.5,"NE",
    F364&lt;112.5,"E",
    F364&lt;157.5,"SE",
    F364&lt;202.5,"S",
    F364&lt;247.5,"SW",
    F364&lt;292.5,"W",
    F364&lt;337.5,"NW"
  ), "No Direction"
)</f>
        <v>E</v>
      </c>
    </row>
    <row r="365" spans="1:7" x14ac:dyDescent="0.2">
      <c r="A365" t="s">
        <v>1055</v>
      </c>
      <c r="B365" t="s">
        <v>1056</v>
      </c>
      <c r="C365">
        <v>25.814176811594201</v>
      </c>
      <c r="D365">
        <v>93.750740579710097</v>
      </c>
      <c r="E365">
        <f t="shared" si="10"/>
        <v>765.3174510164846</v>
      </c>
      <c r="F365" s="34">
        <f t="shared" si="11"/>
        <v>58.534170963106703</v>
      </c>
      <c r="G365" t="str" cm="1">
        <f t="array" ref="G365">IFERROR(
  _xlfn.IFS(F365="Current City","No Direction",
    OR(F365&gt;=337.5,F365&lt;22.5),"N",
    F365&lt;67.5,"NE",
    F365&lt;112.5,"E",
    F365&lt;157.5,"SE",
    F365&lt;202.5,"S",
    F365&lt;247.5,"SW",
    F365&lt;292.5,"W",
    F365&lt;337.5,"NW"
  ), "No Direction"
)</f>
        <v>NE</v>
      </c>
    </row>
    <row r="366" spans="1:7" x14ac:dyDescent="0.2">
      <c r="A366" t="s">
        <v>1055</v>
      </c>
      <c r="B366" t="s">
        <v>1059</v>
      </c>
      <c r="C366">
        <v>25.603114285714199</v>
      </c>
      <c r="D366">
        <v>93.786006575963697</v>
      </c>
      <c r="E366">
        <f t="shared" si="10"/>
        <v>757.43552620040236</v>
      </c>
      <c r="F366" s="34">
        <f t="shared" si="11"/>
        <v>60.22292146856114</v>
      </c>
      <c r="G366" t="str" cm="1">
        <f t="array" ref="G366">IFERROR(
  _xlfn.IFS(F366="Current City","No Direction",
    OR(F366&gt;=337.5,F366&lt;22.5),"N",
    F366&lt;67.5,"NE",
    F366&lt;112.5,"E",
    F366&lt;157.5,"SE",
    F366&lt;202.5,"S",
    F366&lt;247.5,"SW",
    F366&lt;292.5,"W",
    F366&lt;337.5,"NW"
  ), "No Direction"
)</f>
        <v>NE</v>
      </c>
    </row>
    <row r="367" spans="1:7" x14ac:dyDescent="0.2">
      <c r="A367" t="s">
        <v>1055</v>
      </c>
      <c r="B367" t="s">
        <v>1062</v>
      </c>
      <c r="C367">
        <v>26.478911764705799</v>
      </c>
      <c r="D367">
        <v>94.522426006192006</v>
      </c>
      <c r="E367">
        <f t="shared" si="10"/>
        <v>868.79144972578774</v>
      </c>
      <c r="F367" s="34">
        <f t="shared" si="11"/>
        <v>56.683875128286616</v>
      </c>
      <c r="G367" t="str" cm="1">
        <f t="array" ref="G367">IFERROR(
  _xlfn.IFS(F367="Current City","No Direction",
    OR(F367&gt;=337.5,F367&lt;22.5),"N",
    F367&lt;67.5,"NE",
    F367&lt;112.5,"E",
    F367&lt;157.5,"SE",
    F367&lt;202.5,"S",
    F367&lt;247.5,"SW",
    F367&lt;292.5,"W",
    F367&lt;337.5,"NW"
  ), "No Direction"
)</f>
        <v>NE</v>
      </c>
    </row>
    <row r="368" spans="1:7" x14ac:dyDescent="0.2">
      <c r="A368" t="s">
        <v>1055</v>
      </c>
      <c r="B368" t="s">
        <v>1064</v>
      </c>
      <c r="C368">
        <v>26.692073743016699</v>
      </c>
      <c r="D368">
        <v>95.030729888268198</v>
      </c>
      <c r="E368">
        <f t="shared" si="10"/>
        <v>924.41323611592009</v>
      </c>
      <c r="F368" s="34">
        <f t="shared" si="11"/>
        <v>56.990085248873584</v>
      </c>
      <c r="G368" t="str" cm="1">
        <f t="array" ref="G368">IFERROR(
  _xlfn.IFS(F368="Current City","No Direction",
    OR(F368&gt;=337.5,F368&lt;22.5),"N",
    F368&lt;67.5,"NE",
    F368&lt;112.5,"E",
    F368&lt;157.5,"SE",
    F368&lt;202.5,"S",
    F368&lt;247.5,"SW",
    F368&lt;292.5,"W",
    F368&lt;337.5,"NW"
  ), "No Direction"
)</f>
        <v>NE</v>
      </c>
    </row>
    <row r="369" spans="1:7" x14ac:dyDescent="0.2">
      <c r="A369" t="s">
        <v>1055</v>
      </c>
      <c r="B369" t="s">
        <v>1067</v>
      </c>
      <c r="C369">
        <v>25.6327298657718</v>
      </c>
      <c r="D369">
        <v>94.568145637583896</v>
      </c>
      <c r="E369">
        <f t="shared" si="10"/>
        <v>829.47510977771071</v>
      </c>
      <c r="F369" s="34">
        <f t="shared" si="11"/>
        <v>62.481237542678514</v>
      </c>
      <c r="G369" t="str" cm="1">
        <f t="array" ref="G369">IFERROR(
  _xlfn.IFS(F369="Current City","No Direction",
    OR(F369&gt;=337.5,F369&lt;22.5),"N",
    F369&lt;67.5,"NE",
    F369&lt;112.5,"E",
    F369&lt;157.5,"SE",
    F369&lt;202.5,"S",
    F369&lt;247.5,"SW",
    F369&lt;292.5,"W",
    F369&lt;337.5,"NW"
  ), "No Direction"
)</f>
        <v>NE</v>
      </c>
    </row>
    <row r="370" spans="1:7" x14ac:dyDescent="0.2">
      <c r="A370" t="s">
        <v>1055</v>
      </c>
      <c r="B370" t="s">
        <v>1070</v>
      </c>
      <c r="C370">
        <v>26.211044532803101</v>
      </c>
      <c r="D370">
        <v>94.858098807157006</v>
      </c>
      <c r="E370">
        <f t="shared" si="10"/>
        <v>883.72068180490066</v>
      </c>
      <c r="F370" s="34">
        <f t="shared" si="11"/>
        <v>59.454037894999487</v>
      </c>
      <c r="G370" t="str" cm="1">
        <f t="array" ref="G370">IFERROR(
  _xlfn.IFS(F370="Current City","No Direction",
    OR(F370&gt;=337.5,F370&lt;22.5),"N",
    F370&lt;67.5,"NE",
    F370&lt;112.5,"E",
    F370&lt;157.5,"SE",
    F370&lt;202.5,"S",
    F370&lt;247.5,"SW",
    F370&lt;292.5,"W",
    F370&lt;337.5,"NW"
  ), "No Direction"
)</f>
        <v>NE</v>
      </c>
    </row>
    <row r="371" spans="1:7" x14ac:dyDescent="0.2">
      <c r="A371" t="s">
        <v>1055</v>
      </c>
      <c r="B371" t="s">
        <v>1073</v>
      </c>
      <c r="C371">
        <v>26.202611551155101</v>
      </c>
      <c r="D371">
        <v>94.199081518151701</v>
      </c>
      <c r="E371">
        <f t="shared" si="10"/>
        <v>825.5217730442497</v>
      </c>
      <c r="F371" s="34">
        <f t="shared" si="11"/>
        <v>57.395057090267187</v>
      </c>
      <c r="G371" t="str" cm="1">
        <f t="array" ref="G371">IFERROR(
  _xlfn.IFS(F371="Current City","No Direction",
    OR(F371&gt;=337.5,F371&lt;22.5),"N",
    F371&lt;67.5,"NE",
    F371&lt;112.5,"E",
    F371&lt;157.5,"SE",
    F371&lt;202.5,"S",
    F371&lt;247.5,"SW",
    F371&lt;292.5,"W",
    F371&lt;337.5,"NW"
  ), "No Direction"
)</f>
        <v>NE</v>
      </c>
    </row>
    <row r="372" spans="1:7" x14ac:dyDescent="0.2">
      <c r="A372" t="s">
        <v>1055</v>
      </c>
      <c r="B372" t="s">
        <v>1076</v>
      </c>
      <c r="C372">
        <v>26.028178205128199</v>
      </c>
      <c r="D372">
        <v>94.500266666666604</v>
      </c>
      <c r="E372">
        <f t="shared" si="10"/>
        <v>842.64438582291359</v>
      </c>
      <c r="F372" s="34">
        <f t="shared" si="11"/>
        <v>59.559906432614753</v>
      </c>
      <c r="G372" t="str" cm="1">
        <f t="array" ref="G372">IFERROR(
  _xlfn.IFS(F372="Current City","No Direction",
    OR(F372&gt;=337.5,F372&lt;22.5),"N",
    F372&lt;67.5,"NE",
    F372&lt;112.5,"E",
    F372&lt;157.5,"SE",
    F372&lt;202.5,"S",
    F372&lt;247.5,"SW",
    F372&lt;292.5,"W",
    F372&lt;337.5,"NW"
  ), "No Direction"
)</f>
        <v>NE</v>
      </c>
    </row>
    <row r="373" spans="1:7" x14ac:dyDescent="0.2">
      <c r="A373" t="s">
        <v>1079</v>
      </c>
      <c r="B373" t="s">
        <v>1080</v>
      </c>
      <c r="C373">
        <v>21.120706197654901</v>
      </c>
      <c r="D373">
        <v>84.998392127303205</v>
      </c>
      <c r="E373">
        <f t="shared" si="10"/>
        <v>268.34147317200558</v>
      </c>
      <c r="F373" s="34">
        <f t="shared" si="11"/>
        <v>239.65951802294904</v>
      </c>
      <c r="G373" t="str" cm="1">
        <f t="array" ref="G373">IFERROR(
  _xlfn.IFS(F373="Current City","No Direction",
    OR(F373&gt;=337.5,F373&lt;22.5),"N",
    F373&lt;67.5,"NE",
    F373&lt;112.5,"E",
    F373&lt;157.5,"SE",
    F373&lt;202.5,"S",
    F373&lt;247.5,"SW",
    F373&lt;292.5,"W",
    F373&lt;337.5,"NW"
  ), "No Direction"
)</f>
        <v>SW</v>
      </c>
    </row>
    <row r="374" spans="1:7" x14ac:dyDescent="0.2">
      <c r="A374" t="s">
        <v>1079</v>
      </c>
      <c r="B374" t="s">
        <v>1083</v>
      </c>
      <c r="C374">
        <v>21.4857093231162</v>
      </c>
      <c r="D374">
        <v>87.080858280119301</v>
      </c>
      <c r="E374">
        <f t="shared" si="10"/>
        <v>97.882560118504685</v>
      </c>
      <c r="F374" s="34">
        <f t="shared" si="11"/>
        <v>189.13320662213633</v>
      </c>
      <c r="G374" t="str" cm="1">
        <f t="array" ref="G374">IFERROR(
  _xlfn.IFS(F374="Current City","No Direction",
    OR(F374&gt;=337.5,F374&lt;22.5),"N",
    F374&lt;67.5,"NE",
    F374&lt;112.5,"E",
    F374&lt;157.5,"SE",
    F374&lt;202.5,"S",
    F374&lt;247.5,"SW",
    F374&lt;292.5,"W",
    F374&lt;337.5,"NW"
  ), "No Direction"
)</f>
        <v>S</v>
      </c>
    </row>
    <row r="375" spans="1:7" x14ac:dyDescent="0.2">
      <c r="A375" t="s">
        <v>1079</v>
      </c>
      <c r="B375" t="s">
        <v>1086</v>
      </c>
      <c r="C375">
        <v>21.1324063793103</v>
      </c>
      <c r="D375">
        <v>83.264444999999895</v>
      </c>
      <c r="E375">
        <f t="shared" si="10"/>
        <v>431.62278201041744</v>
      </c>
      <c r="F375" s="34">
        <f t="shared" si="11"/>
        <v>252.38600973758062</v>
      </c>
      <c r="G375" t="str" cm="1">
        <f t="array" ref="G375">IFERROR(
  _xlfn.IFS(F375="Current City","No Direction",
    OR(F375&gt;=337.5,F375&lt;22.5),"N",
    F375&lt;67.5,"NE",
    F375&lt;112.5,"E",
    F375&lt;157.5,"SE",
    F375&lt;202.5,"S",
    F375&lt;247.5,"SW",
    F375&lt;292.5,"W",
    F375&lt;337.5,"NW"
  ), "No Direction"
)</f>
        <v>W</v>
      </c>
    </row>
    <row r="376" spans="1:7" x14ac:dyDescent="0.2">
      <c r="A376" t="s">
        <v>1079</v>
      </c>
      <c r="B376" t="s">
        <v>1089</v>
      </c>
      <c r="C376">
        <v>20.952627352572101</v>
      </c>
      <c r="D376">
        <v>86.814962045169295</v>
      </c>
      <c r="E376">
        <f t="shared" si="10"/>
        <v>161.74483831298406</v>
      </c>
      <c r="F376" s="34">
        <f t="shared" si="11"/>
        <v>195.49399937607785</v>
      </c>
      <c r="G376" t="str" cm="1">
        <f t="array" ref="G376">IFERROR(
  _xlfn.IFS(F376="Current City","No Direction",
    OR(F376&gt;=337.5,F376&lt;22.5),"N",
    F376&lt;67.5,"NE",
    F376&lt;112.5,"E",
    F376&lt;157.5,"SE",
    F376&lt;202.5,"S",
    F376&lt;247.5,"SW",
    F376&lt;292.5,"W",
    F376&lt;337.5,"NW"
  ), "No Direction"
)</f>
        <v>S</v>
      </c>
    </row>
    <row r="377" spans="1:7" x14ac:dyDescent="0.2">
      <c r="A377" t="s">
        <v>1079</v>
      </c>
      <c r="B377" t="s">
        <v>1092</v>
      </c>
      <c r="C377">
        <v>20.616300298507401</v>
      </c>
      <c r="D377">
        <v>83.215200597014899</v>
      </c>
      <c r="E377">
        <f t="shared" si="10"/>
        <v>458.24869386103569</v>
      </c>
      <c r="F377" s="34">
        <f t="shared" si="11"/>
        <v>245.79447730469875</v>
      </c>
      <c r="G377" t="str" cm="1">
        <f t="array" ref="G377">IFERROR(
  _xlfn.IFS(F377="Current City","No Direction",
    OR(F377&gt;=337.5,F377&lt;22.5),"N",
    F377&lt;67.5,"NE",
    F377&lt;112.5,"E",
    F377&lt;157.5,"SE",
    F377&lt;202.5,"S",
    F377&lt;247.5,"SW",
    F377&lt;292.5,"W",
    F377&lt;337.5,"NW"
  ), "No Direction"
)</f>
        <v>SW</v>
      </c>
    </row>
    <row r="378" spans="1:7" x14ac:dyDescent="0.2">
      <c r="A378" t="s">
        <v>1079</v>
      </c>
      <c r="B378" t="s">
        <v>1095</v>
      </c>
      <c r="C378">
        <v>20.583190740740701</v>
      </c>
      <c r="D378">
        <v>84.123633068782993</v>
      </c>
      <c r="E378">
        <f t="shared" si="10"/>
        <v>377.08144452861882</v>
      </c>
      <c r="F378" s="34">
        <f t="shared" si="11"/>
        <v>239.08154264626529</v>
      </c>
      <c r="G378" t="str" cm="1">
        <f t="array" ref="G378">IFERROR(
  _xlfn.IFS(F378="Current City","No Direction",
    OR(F378&gt;=337.5,F378&lt;22.5),"N",
    F378&lt;67.5,"NE",
    F378&lt;112.5,"E",
    F378&lt;157.5,"SE",
    F378&lt;202.5,"S",
    F378&lt;247.5,"SW",
    F378&lt;292.5,"W",
    F378&lt;337.5,"NW"
  ), "No Direction"
)</f>
        <v>SW</v>
      </c>
    </row>
    <row r="379" spans="1:7" x14ac:dyDescent="0.2">
      <c r="A379" t="s">
        <v>1079</v>
      </c>
      <c r="B379" t="s">
        <v>1098</v>
      </c>
      <c r="C379">
        <v>20.407640646029598</v>
      </c>
      <c r="D379">
        <v>85.777681022880202</v>
      </c>
      <c r="E379">
        <f t="shared" si="10"/>
        <v>263.67453366147248</v>
      </c>
      <c r="F379" s="34">
        <f t="shared" si="11"/>
        <v>215.06630501035769</v>
      </c>
      <c r="G379" t="str" cm="1">
        <f t="array" ref="G379">IFERROR(
  _xlfn.IFS(F379="Current City","No Direction",
    OR(F379&gt;=337.5,F379&lt;22.5),"N",
    F379&lt;67.5,"NE",
    F379&lt;112.5,"E",
    F379&lt;157.5,"SE",
    F379&lt;202.5,"S",
    F379&lt;247.5,"SW",
    F379&lt;292.5,"W",
    F379&lt;337.5,"NW"
  ), "No Direction"
)</f>
        <v>SW</v>
      </c>
    </row>
    <row r="380" spans="1:7" x14ac:dyDescent="0.2">
      <c r="A380" t="s">
        <v>1079</v>
      </c>
      <c r="B380" t="s">
        <v>1100</v>
      </c>
      <c r="C380">
        <v>21.431462015503801</v>
      </c>
      <c r="D380">
        <v>84.814524806201604</v>
      </c>
      <c r="E380">
        <f t="shared" si="10"/>
        <v>269.63314251766815</v>
      </c>
      <c r="F380" s="34">
        <f t="shared" si="11"/>
        <v>248.06995160597978</v>
      </c>
      <c r="G380" t="str" cm="1">
        <f t="array" ref="G380">IFERROR(
  _xlfn.IFS(F380="Current City","No Direction",
    OR(F380&gt;=337.5,F380&lt;22.5),"N",
    F380&lt;67.5,"NE",
    F380&lt;112.5,"E",
    F380&lt;157.5,"SE",
    F380&lt;202.5,"S",
    F380&lt;247.5,"SW",
    F380&lt;292.5,"W",
    F380&lt;337.5,"NW"
  ), "No Direction"
)</f>
        <v>W</v>
      </c>
    </row>
    <row r="381" spans="1:7" x14ac:dyDescent="0.2">
      <c r="A381" t="s">
        <v>1079</v>
      </c>
      <c r="B381" t="s">
        <v>1103</v>
      </c>
      <c r="C381">
        <v>20.798871593533399</v>
      </c>
      <c r="D381">
        <v>85.532268360277101</v>
      </c>
      <c r="E381">
        <f t="shared" si="10"/>
        <v>246.55294838857728</v>
      </c>
      <c r="F381" s="34">
        <f t="shared" si="11"/>
        <v>225.74807193448643</v>
      </c>
      <c r="G381" t="str" cm="1">
        <f t="array" ref="G381">IFERROR(
  _xlfn.IFS(F381="Current City","No Direction",
    OR(F381&gt;=337.5,F381&lt;22.5),"N",
    F381&lt;67.5,"NE",
    F381&lt;112.5,"E",
    F381&lt;157.5,"SE",
    F381&lt;202.5,"S",
    F381&lt;247.5,"SW",
    F381&lt;292.5,"W",
    F381&lt;337.5,"NW"
  ), "No Direction"
)</f>
        <v>SW</v>
      </c>
    </row>
    <row r="382" spans="1:7" x14ac:dyDescent="0.2">
      <c r="A382" t="s">
        <v>1079</v>
      </c>
      <c r="B382" t="s">
        <v>1106</v>
      </c>
      <c r="C382">
        <v>19.121080882352899</v>
      </c>
      <c r="D382">
        <v>84.140150919117502</v>
      </c>
      <c r="E382">
        <f t="shared" si="10"/>
        <v>482.25452997046142</v>
      </c>
      <c r="F382" s="34">
        <f t="shared" si="11"/>
        <v>222.35075925476332</v>
      </c>
      <c r="G382" t="str" cm="1">
        <f t="array" ref="G382">IFERROR(
  _xlfn.IFS(F382="Current City","No Direction",
    OR(F382&gt;=337.5,F382&lt;22.5),"N",
    F382&lt;67.5,"NE",
    F382&lt;112.5,"E",
    F382&lt;157.5,"SE",
    F382&lt;202.5,"S",
    F382&lt;247.5,"SW",
    F382&lt;292.5,"W",
    F382&lt;337.5,"NW"
  ), "No Direction"
)</f>
        <v>SW</v>
      </c>
    </row>
    <row r="383" spans="1:7" x14ac:dyDescent="0.2">
      <c r="A383" t="s">
        <v>1079</v>
      </c>
      <c r="B383" t="s">
        <v>1109</v>
      </c>
      <c r="C383">
        <v>19.2632617564533</v>
      </c>
      <c r="D383">
        <v>84.802977104377007</v>
      </c>
      <c r="E383">
        <f t="shared" si="10"/>
        <v>426.43874247896542</v>
      </c>
      <c r="F383" s="34">
        <f t="shared" si="11"/>
        <v>216.72232974521214</v>
      </c>
      <c r="G383" t="str" cm="1">
        <f t="array" ref="G383">IFERROR(
  _xlfn.IFS(F383="Current City","No Direction",
    OR(F383&gt;=337.5,F383&lt;22.5),"N",
    F383&lt;67.5,"NE",
    F383&lt;112.5,"E",
    F383&lt;157.5,"SE",
    F383&lt;202.5,"S",
    F383&lt;247.5,"SW",
    F383&lt;292.5,"W",
    F383&lt;337.5,"NW"
  ), "No Direction"
)</f>
        <v>SW</v>
      </c>
    </row>
    <row r="384" spans="1:7" x14ac:dyDescent="0.2">
      <c r="A384" t="s">
        <v>1079</v>
      </c>
      <c r="B384" t="s">
        <v>1112</v>
      </c>
      <c r="C384">
        <v>20.114443183609101</v>
      </c>
      <c r="D384">
        <v>86.432652587339106</v>
      </c>
      <c r="E384">
        <f t="shared" si="10"/>
        <v>262.50714783857001</v>
      </c>
      <c r="F384" s="34">
        <f t="shared" si="11"/>
        <v>198.51965899689543</v>
      </c>
      <c r="G384" t="str" cm="1">
        <f t="array" ref="G384">IFERROR(
  _xlfn.IFS(F384="Current City","No Direction",
    OR(F384&gt;=337.5,F384&lt;22.5),"N",
    F384&lt;67.5,"NE",
    F384&lt;112.5,"E",
    F384&lt;157.5,"SE",
    F384&lt;202.5,"S",
    F384&lt;247.5,"SW",
    F384&lt;292.5,"W",
    F384&lt;337.5,"NW"
  ), "No Direction"
)</f>
        <v>S</v>
      </c>
    </row>
    <row r="385" spans="1:7" x14ac:dyDescent="0.2">
      <c r="A385" t="s">
        <v>1079</v>
      </c>
      <c r="B385" t="s">
        <v>1115</v>
      </c>
      <c r="C385">
        <v>20.853249094202901</v>
      </c>
      <c r="D385">
        <v>86.152773007246296</v>
      </c>
      <c r="E385">
        <f t="shared" si="10"/>
        <v>200.76318283638568</v>
      </c>
      <c r="F385" s="34">
        <f t="shared" si="11"/>
        <v>213.92700614374232</v>
      </c>
      <c r="G385" t="str" cm="1">
        <f t="array" ref="G385">IFERROR(
  _xlfn.IFS(F385="Current City","No Direction",
    OR(F385&gt;=337.5,F385&lt;22.5),"N",
    F385&lt;67.5,"NE",
    F385&lt;112.5,"E",
    F385&lt;157.5,"SE",
    F385&lt;202.5,"S",
    F385&lt;247.5,"SW",
    F385&lt;292.5,"W",
    F385&lt;337.5,"NW"
  ), "No Direction"
)</f>
        <v>SW</v>
      </c>
    </row>
    <row r="386" spans="1:7" x14ac:dyDescent="0.2">
      <c r="A386" t="s">
        <v>1079</v>
      </c>
      <c r="B386" t="s">
        <v>1118</v>
      </c>
      <c r="C386">
        <v>21.827058566978099</v>
      </c>
      <c r="D386">
        <v>83.9358168224298</v>
      </c>
      <c r="E386">
        <f t="shared" ref="E386:E449" si="12">2*6371*ASIN(SQRT(
    SIN(RADIANS(C386-$M$7)/2)^2 +
    COS(RADIANS($M$7)) * COS(RADIANS(C386)) *
    SIN(RADIANS(D386-$M$8)/2)^2
))</f>
        <v>344.53800767530532</v>
      </c>
      <c r="F386" s="34">
        <f t="shared" si="11"/>
        <v>260.8143821322189</v>
      </c>
      <c r="G386" t="str" cm="1">
        <f t="array" ref="G386">IFERROR(
  _xlfn.IFS(F386="Current City","No Direction",
    OR(F386&gt;=337.5,F386&lt;22.5),"N",
    F386&lt;67.5,"NE",
    F386&lt;112.5,"E",
    F386&lt;157.5,"SE",
    F386&lt;202.5,"S",
    F386&lt;247.5,"SW",
    F386&lt;292.5,"W",
    F386&lt;337.5,"NW"
  ), "No Direction"
)</f>
        <v>W</v>
      </c>
    </row>
    <row r="387" spans="1:7" x14ac:dyDescent="0.2">
      <c r="A387" t="s">
        <v>1079</v>
      </c>
      <c r="B387" t="s">
        <v>1121</v>
      </c>
      <c r="C387">
        <v>19.784253092783501</v>
      </c>
      <c r="D387">
        <v>83.112404381443298</v>
      </c>
      <c r="E387">
        <f t="shared" si="12"/>
        <v>514.08196334359582</v>
      </c>
      <c r="F387" s="34">
        <f t="shared" ref="F387:F450" si="13">IFERROR(MOD(DEGREES(ATAN2(COS(RADIANS($M$7))*SIN(RADIANS(C387))-SIN(RADIANS($M$7))*COS(RADIANS(C387))*COS(RADIANS(D387-$M$8)), SIN(RADIANS(D387-$M$8))*COS(RADIANS(C387))))+360, 360),"Current City")</f>
        <v>236.97699877287621</v>
      </c>
      <c r="G387" t="str" cm="1">
        <f t="array" ref="G387">IFERROR(
  _xlfn.IFS(F387="Current City","No Direction",
    OR(F387&gt;=337.5,F387&lt;22.5),"N",
    F387&lt;67.5,"NE",
    F387&lt;112.5,"E",
    F387&lt;157.5,"SE",
    F387&lt;202.5,"S",
    F387&lt;247.5,"SW",
    F387&lt;292.5,"W",
    F387&lt;337.5,"NW"
  ), "No Direction"
)</f>
        <v>SW</v>
      </c>
    </row>
    <row r="388" spans="1:7" x14ac:dyDescent="0.2">
      <c r="A388" t="s">
        <v>1079</v>
      </c>
      <c r="B388" t="s">
        <v>1123</v>
      </c>
      <c r="C388">
        <v>20.0928786248131</v>
      </c>
      <c r="D388">
        <v>84.022163527653206</v>
      </c>
      <c r="E388">
        <f t="shared" si="12"/>
        <v>416.97405700960132</v>
      </c>
      <c r="F388" s="34">
        <f t="shared" si="13"/>
        <v>233.49264191045873</v>
      </c>
      <c r="G388" t="str" cm="1">
        <f t="array" ref="G388">IFERROR(
  _xlfn.IFS(F388="Current City","No Direction",
    OR(F388&gt;=337.5,F388&lt;22.5),"N",
    F388&lt;67.5,"NE",
    F388&lt;112.5,"E",
    F388&lt;157.5,"SE",
    F388&lt;202.5,"S",
    F388&lt;247.5,"SW",
    F388&lt;292.5,"W",
    F388&lt;337.5,"NW"
  ), "No Direction"
)</f>
        <v>SW</v>
      </c>
    </row>
    <row r="389" spans="1:7" x14ac:dyDescent="0.2">
      <c r="A389" t="s">
        <v>1079</v>
      </c>
      <c r="B389" t="s">
        <v>1126</v>
      </c>
      <c r="C389">
        <v>20.6063198159822</v>
      </c>
      <c r="D389">
        <v>86.83763247572</v>
      </c>
      <c r="E389">
        <f t="shared" si="12"/>
        <v>198.64733915247939</v>
      </c>
      <c r="F389" s="34">
        <f t="shared" si="13"/>
        <v>191.89643026515981</v>
      </c>
      <c r="G389" t="str" cm="1">
        <f t="array" ref="G389">IFERROR(
  _xlfn.IFS(F389="Current City","No Direction",
    OR(F389&gt;=337.5,F389&lt;22.5),"N",
    F389&lt;67.5,"NE",
    F389&lt;112.5,"E",
    F389&lt;157.5,"SE",
    F389&lt;202.5,"S",
    F389&lt;247.5,"SW",
    F389&lt;292.5,"W",
    F389&lt;337.5,"NW"
  ), "No Direction"
)</f>
        <v>S</v>
      </c>
    </row>
    <row r="390" spans="1:7" x14ac:dyDescent="0.2">
      <c r="A390" t="s">
        <v>1079</v>
      </c>
      <c r="B390" t="s">
        <v>1129</v>
      </c>
      <c r="C390">
        <v>21.4922574025973</v>
      </c>
      <c r="D390">
        <v>85.762769870129901</v>
      </c>
      <c r="E390">
        <f t="shared" si="12"/>
        <v>179.27235960172646</v>
      </c>
      <c r="F390" s="34">
        <f t="shared" si="13"/>
        <v>237.92838842586019</v>
      </c>
      <c r="G390" t="str" cm="1">
        <f t="array" ref="G390">IFERROR(
  _xlfn.IFS(F390="Current City","No Direction",
    OR(F390&gt;=337.5,F390&lt;22.5),"N",
    F390&lt;67.5,"NE",
    F390&lt;112.5,"E",
    F390&lt;157.5,"SE",
    F390&lt;202.5,"S",
    F390&lt;247.5,"SW",
    F390&lt;292.5,"W",
    F390&lt;337.5,"NW"
  ), "No Direction"
)</f>
        <v>SW</v>
      </c>
    </row>
    <row r="391" spans="1:7" x14ac:dyDescent="0.2">
      <c r="A391" t="s">
        <v>1079</v>
      </c>
      <c r="B391" t="s">
        <v>1132</v>
      </c>
      <c r="C391">
        <v>20.054162322274799</v>
      </c>
      <c r="D391">
        <v>85.522348341232203</v>
      </c>
      <c r="E391">
        <f t="shared" si="12"/>
        <v>311.15609329527746</v>
      </c>
      <c r="F391" s="34">
        <f t="shared" si="13"/>
        <v>215.01081216306119</v>
      </c>
      <c r="G391" t="str" cm="1">
        <f t="array" ref="G391">IFERROR(
  _xlfn.IFS(F391="Current City","No Direction",
    OR(F391&gt;=337.5,F391&lt;22.5),"N",
    F391&lt;67.5,"NE",
    F391&lt;112.5,"E",
    F391&lt;157.5,"SE",
    F391&lt;202.5,"S",
    F391&lt;247.5,"SW",
    F391&lt;292.5,"W",
    F391&lt;337.5,"NW"
  ), "No Direction"
)</f>
        <v>SW</v>
      </c>
    </row>
    <row r="392" spans="1:7" x14ac:dyDescent="0.2">
      <c r="A392" t="s">
        <v>1079</v>
      </c>
      <c r="B392" t="s">
        <v>1135</v>
      </c>
      <c r="C392">
        <v>18.826277947794701</v>
      </c>
      <c r="D392">
        <v>82.812784698469599</v>
      </c>
      <c r="E392">
        <f t="shared" si="12"/>
        <v>604.44181988945672</v>
      </c>
      <c r="F392" s="34">
        <f t="shared" si="13"/>
        <v>230.32691408888374</v>
      </c>
      <c r="G392" t="str" cm="1">
        <f t="array" ref="G392">IFERROR(
  _xlfn.IFS(F392="Current City","No Direction",
    OR(F392&gt;=337.5,F392&lt;22.5),"N",
    F392&lt;67.5,"NE",
    F392&lt;112.5,"E",
    F392&lt;157.5,"SE",
    F392&lt;202.5,"S",
    F392&lt;247.5,"SW",
    F392&lt;292.5,"W",
    F392&lt;337.5,"NW"
  ), "No Direction"
)</f>
        <v>SW</v>
      </c>
    </row>
    <row r="393" spans="1:7" x14ac:dyDescent="0.2">
      <c r="A393" t="s">
        <v>1079</v>
      </c>
      <c r="B393" t="s">
        <v>1138</v>
      </c>
      <c r="C393">
        <v>18.252279303675</v>
      </c>
      <c r="D393">
        <v>81.982936363636199</v>
      </c>
      <c r="E393">
        <f t="shared" si="12"/>
        <v>712.35006069290262</v>
      </c>
      <c r="F393" s="34">
        <f t="shared" si="13"/>
        <v>231.12529913704265</v>
      </c>
      <c r="G393" t="str" cm="1">
        <f t="array" ref="G393">IFERROR(
  _xlfn.IFS(F393="Current City","No Direction",
    OR(F393&gt;=337.5,F393&lt;22.5),"N",
    F393&lt;67.5,"NE",
    F393&lt;112.5,"E",
    F393&lt;157.5,"SE",
    F393&lt;202.5,"S",
    F393&lt;247.5,"SW",
    F393&lt;292.5,"W",
    F393&lt;337.5,"NW"
  ), "No Direction"
)</f>
        <v>SW</v>
      </c>
    </row>
    <row r="394" spans="1:7" x14ac:dyDescent="0.2">
      <c r="A394" t="s">
        <v>1079</v>
      </c>
      <c r="B394" t="s">
        <v>1141</v>
      </c>
      <c r="C394">
        <v>21.897621545157701</v>
      </c>
      <c r="D394">
        <v>86.4030408052231</v>
      </c>
      <c r="E394">
        <f t="shared" si="12"/>
        <v>99.292848176052928</v>
      </c>
      <c r="F394" s="34">
        <f t="shared" si="13"/>
        <v>239.35353985901264</v>
      </c>
      <c r="G394" t="str" cm="1">
        <f t="array" ref="G394">IFERROR(
  _xlfn.IFS(F394="Current City","No Direction",
    OR(F394&gt;=337.5,F394&lt;22.5),"N",
    F394&lt;67.5,"NE",
    F394&lt;112.5,"E",
    F394&lt;157.5,"SE",
    F394&lt;202.5,"S",
    F394&lt;247.5,"SW",
    F394&lt;292.5,"W",
    F394&lt;337.5,"NW"
  ), "No Direction"
)</f>
        <v>SW</v>
      </c>
    </row>
    <row r="395" spans="1:7" x14ac:dyDescent="0.2">
      <c r="A395" t="s">
        <v>1079</v>
      </c>
      <c r="B395" t="s">
        <v>1143</v>
      </c>
      <c r="C395">
        <v>19.513047166921901</v>
      </c>
      <c r="D395">
        <v>82.420419601837594</v>
      </c>
      <c r="E395">
        <f t="shared" si="12"/>
        <v>591.07435005845878</v>
      </c>
      <c r="F395" s="34">
        <f t="shared" si="13"/>
        <v>238.56471035016546</v>
      </c>
      <c r="G395" t="str" cm="1">
        <f t="array" ref="G395">IFERROR(
  _xlfn.IFS(F395="Current City","No Direction",
    OR(F395&gt;=337.5,F395&lt;22.5),"N",
    F395&lt;67.5,"NE",
    F395&lt;112.5,"E",
    F395&lt;157.5,"SE",
    F395&lt;202.5,"S",
    F395&lt;247.5,"SW",
    F395&lt;292.5,"W",
    F395&lt;337.5,"NW"
  ), "No Direction"
)</f>
        <v>SW</v>
      </c>
    </row>
    <row r="396" spans="1:7" x14ac:dyDescent="0.2">
      <c r="A396" t="s">
        <v>1079</v>
      </c>
      <c r="B396" t="s">
        <v>1146</v>
      </c>
      <c r="C396">
        <v>20.192895622119799</v>
      </c>
      <c r="D396">
        <v>85.056147004608206</v>
      </c>
      <c r="E396">
        <f t="shared" si="12"/>
        <v>329.49826259761119</v>
      </c>
      <c r="F396" s="34">
        <f t="shared" si="13"/>
        <v>223.54919528579288</v>
      </c>
      <c r="G396" t="str" cm="1">
        <f t="array" ref="G396">IFERROR(
  _xlfn.IFS(F396="Current City","No Direction",
    OR(F396&gt;=337.5,F396&lt;22.5),"N",
    F396&lt;67.5,"NE",
    F396&lt;112.5,"E",
    F396&lt;157.5,"SE",
    F396&lt;202.5,"S",
    F396&lt;247.5,"SW",
    F396&lt;292.5,"W",
    F396&lt;337.5,"NW"
  ), "No Direction"
)</f>
        <v>SW</v>
      </c>
    </row>
    <row r="397" spans="1:7" x14ac:dyDescent="0.2">
      <c r="A397" t="s">
        <v>1079</v>
      </c>
      <c r="B397" t="s">
        <v>1149</v>
      </c>
      <c r="C397">
        <v>20.471309512195099</v>
      </c>
      <c r="D397">
        <v>82.591525365853599</v>
      </c>
      <c r="E397">
        <f t="shared" si="12"/>
        <v>523.91441017936882</v>
      </c>
      <c r="F397" s="34">
        <f t="shared" si="13"/>
        <v>247.29818315144908</v>
      </c>
      <c r="G397" t="str" cm="1">
        <f t="array" ref="G397">IFERROR(
  _xlfn.IFS(F397="Current City","No Direction",
    OR(F397&gt;=337.5,F397&lt;22.5),"N",
    F397&lt;67.5,"NE",
    F397&lt;112.5,"E",
    F397&lt;157.5,"SE",
    F397&lt;202.5,"S",
    F397&lt;247.5,"SW",
    F397&lt;292.5,"W",
    F397&lt;337.5,"NW"
  ), "No Direction"
)</f>
        <v>SW</v>
      </c>
    </row>
    <row r="398" spans="1:7" x14ac:dyDescent="0.2">
      <c r="A398" t="s">
        <v>1079</v>
      </c>
      <c r="B398" t="s">
        <v>1152</v>
      </c>
      <c r="C398">
        <v>19.835091746031701</v>
      </c>
      <c r="D398">
        <v>85.8669898989898</v>
      </c>
      <c r="E398">
        <f t="shared" si="12"/>
        <v>313.88848646762887</v>
      </c>
      <c r="F398" s="34">
        <f t="shared" si="13"/>
        <v>207.04430206388759</v>
      </c>
      <c r="G398" t="str" cm="1">
        <f t="array" ref="G398">IFERROR(
  _xlfn.IFS(F398="Current City","No Direction",
    OR(F398&gt;=337.5,F398&lt;22.5),"N",
    F398&lt;67.5,"NE",
    F398&lt;112.5,"E",
    F398&lt;157.5,"SE",
    F398&lt;202.5,"S",
    F398&lt;247.5,"SW",
    F398&lt;292.5,"W",
    F398&lt;337.5,"NW"
  ), "No Direction"
)</f>
        <v>SW</v>
      </c>
    </row>
    <row r="399" spans="1:7" x14ac:dyDescent="0.2">
      <c r="A399" t="s">
        <v>1079</v>
      </c>
      <c r="B399" t="s">
        <v>1155</v>
      </c>
      <c r="C399">
        <v>19.292840020060201</v>
      </c>
      <c r="D399">
        <v>83.458601203610897</v>
      </c>
      <c r="E399">
        <f t="shared" si="12"/>
        <v>519.22183198974756</v>
      </c>
      <c r="F399" s="34">
        <f t="shared" si="13"/>
        <v>229.71276227124247</v>
      </c>
      <c r="G399" t="str" cm="1">
        <f t="array" ref="G399">IFERROR(
  _xlfn.IFS(F399="Current City","No Direction",
    OR(F399&gt;=337.5,F399&lt;22.5),"N",
    F399&lt;67.5,"NE",
    F399&lt;112.5,"E",
    F399&lt;157.5,"SE",
    F399&lt;202.5,"S",
    F399&lt;247.5,"SW",
    F399&lt;292.5,"W",
    F399&lt;337.5,"NW"
  ), "No Direction"
)</f>
        <v>SW</v>
      </c>
    </row>
    <row r="400" spans="1:7" x14ac:dyDescent="0.2">
      <c r="A400" t="s">
        <v>1079</v>
      </c>
      <c r="B400" t="s">
        <v>1158</v>
      </c>
      <c r="C400">
        <v>21.5157523809523</v>
      </c>
      <c r="D400">
        <v>84.349584832451498</v>
      </c>
      <c r="E400">
        <f t="shared" si="12"/>
        <v>311.50049385731552</v>
      </c>
      <c r="F400" s="34">
        <f t="shared" si="13"/>
        <v>253.11204572578288</v>
      </c>
      <c r="G400" t="str" cm="1">
        <f t="array" ref="G400">IFERROR(
  _xlfn.IFS(F400="Current City","No Direction",
    OR(F400&gt;=337.5,F400&lt;22.5),"N",
    F400&lt;67.5,"NE",
    F400&lt;112.5,"E",
    F400&lt;157.5,"SE",
    F400&lt;202.5,"S",
    F400&lt;247.5,"SW",
    F400&lt;292.5,"W",
    F400&lt;337.5,"NW"
  ), "No Direction"
)</f>
        <v>W</v>
      </c>
    </row>
    <row r="401" spans="1:7" x14ac:dyDescent="0.2">
      <c r="A401" t="s">
        <v>1079</v>
      </c>
      <c r="B401" t="s">
        <v>1161</v>
      </c>
      <c r="C401">
        <v>20.8908032934131</v>
      </c>
      <c r="D401">
        <v>83.768526347305297</v>
      </c>
      <c r="E401">
        <f t="shared" si="12"/>
        <v>393.18355923194645</v>
      </c>
      <c r="F401" s="34">
        <f t="shared" si="13"/>
        <v>246.1868001814002</v>
      </c>
      <c r="G401" t="str" cm="1">
        <f t="array" ref="G401">IFERROR(
  _xlfn.IFS(F401="Current City","No Direction",
    OR(F401&gt;=337.5,F401&lt;22.5),"N",
    F401&lt;67.5,"NE",
    F401&lt;112.5,"E",
    F401&lt;157.5,"SE",
    F401&lt;202.5,"S",
    F401&lt;247.5,"SW",
    F401&lt;292.5,"W",
    F401&lt;337.5,"NW"
  ), "No Direction"
)</f>
        <v>SW</v>
      </c>
    </row>
    <row r="402" spans="1:7" x14ac:dyDescent="0.2">
      <c r="A402" t="s">
        <v>1079</v>
      </c>
      <c r="B402" t="s">
        <v>1164</v>
      </c>
      <c r="C402">
        <v>22.063548192771002</v>
      </c>
      <c r="D402">
        <v>84.505248192770907</v>
      </c>
      <c r="E402">
        <f t="shared" si="12"/>
        <v>282.46467941829093</v>
      </c>
      <c r="F402" s="34">
        <f t="shared" si="13"/>
        <v>263.93070476326488</v>
      </c>
      <c r="G402" t="str" cm="1">
        <f t="array" ref="G402">IFERROR(
  _xlfn.IFS(F402="Current City","No Direction",
    OR(F402&gt;=337.5,F402&lt;22.5),"N",
    F402&lt;67.5,"NE",
    F402&lt;112.5,"E",
    F402&lt;157.5,"SE",
    F402&lt;202.5,"S",
    F402&lt;247.5,"SW",
    F402&lt;292.5,"W",
    F402&lt;337.5,"NW"
  ), "No Direction"
)</f>
        <v>W</v>
      </c>
    </row>
    <row r="403" spans="1:7" x14ac:dyDescent="0.2">
      <c r="A403" t="s">
        <v>1167</v>
      </c>
      <c r="B403" t="s">
        <v>1168</v>
      </c>
      <c r="C403">
        <v>10.8761617260788</v>
      </c>
      <c r="D403">
        <v>79.823697936209996</v>
      </c>
      <c r="E403">
        <f t="shared" si="12"/>
        <v>1499.787092445551</v>
      </c>
      <c r="F403" s="34">
        <f t="shared" si="13"/>
        <v>212.87552590154434</v>
      </c>
      <c r="G403" t="str" cm="1">
        <f t="array" ref="G403">IFERROR(
  _xlfn.IFS(F403="Current City","No Direction",
    OR(F403&gt;=337.5,F403&lt;22.5),"N",
    F403&lt;67.5,"NE",
    F403&lt;112.5,"E",
    F403&lt;157.5,"SE",
    F403&lt;202.5,"S",
    F403&lt;247.5,"SW",
    F403&lt;292.5,"W",
    F403&lt;337.5,"NW"
  ), "No Direction"
)</f>
        <v>SW</v>
      </c>
    </row>
    <row r="404" spans="1:7" x14ac:dyDescent="0.2">
      <c r="A404" t="s">
        <v>1167</v>
      </c>
      <c r="B404" t="s">
        <v>1171</v>
      </c>
      <c r="C404">
        <v>12.006420793787701</v>
      </c>
      <c r="D404">
        <v>75.282750215703203</v>
      </c>
      <c r="E404">
        <f t="shared" si="12"/>
        <v>1711.4543788930348</v>
      </c>
      <c r="F404" s="34">
        <f t="shared" si="13"/>
        <v>229.72590657225888</v>
      </c>
      <c r="G404" t="str" cm="1">
        <f t="array" ref="G404">IFERROR(
  _xlfn.IFS(F404="Current City","No Direction",
    OR(F404&gt;=337.5,F404&lt;22.5),"N",
    F404&lt;67.5,"NE",
    F404&lt;112.5,"E",
    F404&lt;157.5,"SE",
    F404&lt;202.5,"S",
    F404&lt;247.5,"SW",
    F404&lt;292.5,"W",
    F404&lt;337.5,"NW"
  ), "No Direction"
)</f>
        <v>SW</v>
      </c>
    </row>
    <row r="405" spans="1:7" x14ac:dyDescent="0.2">
      <c r="A405" t="s">
        <v>1167</v>
      </c>
      <c r="B405" t="s">
        <v>1167</v>
      </c>
      <c r="C405">
        <v>11.887806269592399</v>
      </c>
      <c r="D405">
        <v>79.797109613375198</v>
      </c>
      <c r="E405">
        <f t="shared" si="12"/>
        <v>1405.8424769832054</v>
      </c>
      <c r="F405" s="34">
        <f t="shared" si="13"/>
        <v>215.34110912564469</v>
      </c>
      <c r="G405" t="str" cm="1">
        <f t="array" ref="G405">IFERROR(
  _xlfn.IFS(F405="Current City","No Direction",
    OR(F405&gt;=337.5,F405&lt;22.5),"N",
    F405&lt;67.5,"NE",
    F405&lt;112.5,"E",
    F405&lt;157.5,"SE",
    F405&lt;202.5,"S",
    F405&lt;247.5,"SW",
    F405&lt;292.5,"W",
    F405&lt;337.5,"NW"
  ), "No Direction"
)</f>
        <v>SW</v>
      </c>
    </row>
    <row r="406" spans="1:7" x14ac:dyDescent="0.2">
      <c r="A406" t="s">
        <v>1167</v>
      </c>
      <c r="B406" t="s">
        <v>1175</v>
      </c>
      <c r="C406">
        <v>16.7076956521739</v>
      </c>
      <c r="D406">
        <v>82.261873043478303</v>
      </c>
      <c r="E406">
        <f t="shared" si="12"/>
        <v>815.57783292201771</v>
      </c>
      <c r="F406" s="34">
        <f t="shared" si="13"/>
        <v>220.53001849653211</v>
      </c>
      <c r="G406" t="str" cm="1">
        <f t="array" ref="G406">IFERROR(
  _xlfn.IFS(F406="Current City","No Direction",
    OR(F406&gt;=337.5,F406&lt;22.5),"N",
    F406&lt;67.5,"NE",
    F406&lt;112.5,"E",
    F406&lt;157.5,"SE",
    F406&lt;202.5,"S",
    F406&lt;247.5,"SW",
    F406&lt;292.5,"W",
    F406&lt;337.5,"NW"
  ), "No Direction"
)</f>
        <v>SW</v>
      </c>
    </row>
    <row r="407" spans="1:7" x14ac:dyDescent="0.2">
      <c r="A407" t="s">
        <v>1178</v>
      </c>
      <c r="B407" t="s">
        <v>1179</v>
      </c>
      <c r="C407">
        <v>31.548679820627701</v>
      </c>
      <c r="D407">
        <v>74.798838565022294</v>
      </c>
      <c r="E407">
        <f t="shared" si="12"/>
        <v>1598.9113692251697</v>
      </c>
      <c r="F407" s="34">
        <f t="shared" si="13"/>
        <v>312.3742278279957</v>
      </c>
      <c r="G407" t="str" cm="1">
        <f t="array" ref="G407">IFERROR(
  _xlfn.IFS(F407="Current City","No Direction",
    OR(F407&gt;=337.5,F407&lt;22.5),"N",
    F407&lt;67.5,"NE",
    F407&lt;112.5,"E",
    F407&lt;157.5,"SE",
    F407&lt;202.5,"S",
    F407&lt;247.5,"SW",
    F407&lt;292.5,"W",
    F407&lt;337.5,"NW"
  ), "No Direction"
)</f>
        <v>NW</v>
      </c>
    </row>
    <row r="408" spans="1:7" x14ac:dyDescent="0.2">
      <c r="A408" t="s">
        <v>1178</v>
      </c>
      <c r="B408" t="s">
        <v>1182</v>
      </c>
      <c r="C408">
        <v>30.190524611973299</v>
      </c>
      <c r="D408">
        <v>75.056858980044296</v>
      </c>
      <c r="E408">
        <f t="shared" si="12"/>
        <v>1492.4892121829696</v>
      </c>
      <c r="F408" s="34">
        <f t="shared" si="13"/>
        <v>308.25534354744229</v>
      </c>
      <c r="G408" t="str" cm="1">
        <f t="array" ref="G408">IFERROR(
  _xlfn.IFS(F408="Current City","No Direction",
    OR(F408&gt;=337.5,F408&lt;22.5),"N",
    F408&lt;67.5,"NE",
    F408&lt;112.5,"E",
    F408&lt;157.5,"SE",
    F408&lt;202.5,"S",
    F408&lt;247.5,"SW",
    F408&lt;292.5,"W",
    F408&lt;337.5,"NW"
  ), "No Direction"
)</f>
        <v>NW</v>
      </c>
    </row>
    <row r="409" spans="1:7" x14ac:dyDescent="0.2">
      <c r="A409" t="s">
        <v>1178</v>
      </c>
      <c r="B409" t="s">
        <v>1185</v>
      </c>
      <c r="C409">
        <v>30.591187250996001</v>
      </c>
      <c r="D409">
        <v>74.797515537848597</v>
      </c>
      <c r="E409">
        <f t="shared" si="12"/>
        <v>1537.7045194510263</v>
      </c>
      <c r="F409" s="34">
        <f t="shared" si="13"/>
        <v>309.15819759876422</v>
      </c>
      <c r="G409" t="str" cm="1">
        <f t="array" ref="G409">IFERROR(
  _xlfn.IFS(F409="Current City","No Direction",
    OR(F409&gt;=337.5,F409&lt;22.5),"N",
    F409&lt;67.5,"NE",
    F409&lt;112.5,"E",
    F409&lt;157.5,"SE",
    F409&lt;202.5,"S",
    F409&lt;247.5,"SW",
    F409&lt;292.5,"W",
    F409&lt;337.5,"NW"
  ), "No Direction"
)</f>
        <v>NW</v>
      </c>
    </row>
    <row r="410" spans="1:7" x14ac:dyDescent="0.2">
      <c r="A410" t="s">
        <v>1178</v>
      </c>
      <c r="B410" t="s">
        <v>1188</v>
      </c>
      <c r="C410">
        <v>30.642909473684199</v>
      </c>
      <c r="D410">
        <v>76.362083947368404</v>
      </c>
      <c r="E410">
        <f t="shared" si="12"/>
        <v>1419.4761631490039</v>
      </c>
      <c r="F410" s="34">
        <f t="shared" si="13"/>
        <v>312.76019107874276</v>
      </c>
      <c r="G410" t="str" cm="1">
        <f t="array" ref="G410">IFERROR(
  _xlfn.IFS(F410="Current City","No Direction",
    OR(F410&gt;=337.5,F410&lt;22.5),"N",
    F410&lt;67.5,"NE",
    F410&lt;112.5,"E",
    F410&lt;157.5,"SE",
    F410&lt;202.5,"S",
    F410&lt;247.5,"SW",
    F410&lt;292.5,"W",
    F410&lt;337.5,"NW"
  ), "No Direction"
)</f>
        <v>NW</v>
      </c>
    </row>
    <row r="411" spans="1:7" x14ac:dyDescent="0.2">
      <c r="A411" t="s">
        <v>1178</v>
      </c>
      <c r="B411" t="s">
        <v>1191</v>
      </c>
      <c r="C411">
        <v>30.6340753521126</v>
      </c>
      <c r="D411">
        <v>74.402457323943594</v>
      </c>
      <c r="E411">
        <f t="shared" si="12"/>
        <v>1571.9564758284776</v>
      </c>
      <c r="F411" s="34">
        <f t="shared" si="13"/>
        <v>308.53665336147066</v>
      </c>
      <c r="G411" t="str" cm="1">
        <f t="array" ref="G411">IFERROR(
  _xlfn.IFS(F411="Current City","No Direction",
    OR(F411&gt;=337.5,F411&lt;22.5),"N",
    F411&lt;67.5,"NE",
    F411&lt;112.5,"E",
    F411&lt;157.5,"SE",
    F411&lt;202.5,"S",
    F411&lt;247.5,"SW",
    F411&lt;292.5,"W",
    F411&lt;337.5,"NW"
  ), "No Direction"
)</f>
        <v>NW</v>
      </c>
    </row>
    <row r="412" spans="1:7" x14ac:dyDescent="0.2">
      <c r="A412" t="s">
        <v>1178</v>
      </c>
      <c r="B412" t="s">
        <v>1194</v>
      </c>
      <c r="C412">
        <v>32.042833712121201</v>
      </c>
      <c r="D412">
        <v>75.320406439393906</v>
      </c>
      <c r="E412">
        <f t="shared" si="12"/>
        <v>1594.0694876939019</v>
      </c>
      <c r="F412" s="34">
        <f t="shared" si="13"/>
        <v>315.04580281468003</v>
      </c>
      <c r="G412" t="str" cm="1">
        <f t="array" ref="G412">IFERROR(
  _xlfn.IFS(F412="Current City","No Direction",
    OR(F412&gt;=337.5,F412&lt;22.5),"N",
    F412&lt;67.5,"NE",
    F412&lt;112.5,"E",
    F412&lt;157.5,"SE",
    F412&lt;202.5,"S",
    F412&lt;247.5,"SW",
    F412&lt;292.5,"W",
    F412&lt;337.5,"NW"
  ), "No Direction"
)</f>
        <v>NW</v>
      </c>
    </row>
    <row r="413" spans="1:7" x14ac:dyDescent="0.2">
      <c r="A413" t="s">
        <v>1178</v>
      </c>
      <c r="B413" t="s">
        <v>1196</v>
      </c>
      <c r="C413">
        <v>31.551571698113101</v>
      </c>
      <c r="D413">
        <v>75.8469857442349</v>
      </c>
      <c r="E413">
        <f t="shared" si="12"/>
        <v>1520.9198659226438</v>
      </c>
      <c r="F413" s="34">
        <f t="shared" si="13"/>
        <v>314.65660974749534</v>
      </c>
      <c r="G413" t="str" cm="1">
        <f t="array" ref="G413">IFERROR(
  _xlfn.IFS(F413="Current City","No Direction",
    OR(F413&gt;=337.5,F413&lt;22.5),"N",
    F413&lt;67.5,"NE",
    F413&lt;112.5,"E",
    F413&lt;157.5,"SE",
    F413&lt;202.5,"S",
    F413&lt;247.5,"SW",
    F413&lt;292.5,"W",
    F413&lt;337.5,"NW"
  ), "No Direction"
)</f>
        <v>NW</v>
      </c>
    </row>
    <row r="414" spans="1:7" x14ac:dyDescent="0.2">
      <c r="A414" t="s">
        <v>1178</v>
      </c>
      <c r="B414" t="s">
        <v>1198</v>
      </c>
      <c r="C414">
        <v>31.2503369072165</v>
      </c>
      <c r="D414">
        <v>75.544003505154606</v>
      </c>
      <c r="E414">
        <f t="shared" si="12"/>
        <v>1522.5170596060875</v>
      </c>
      <c r="F414" s="34">
        <f t="shared" si="13"/>
        <v>312.97955689470734</v>
      </c>
      <c r="G414" t="str" cm="1">
        <f t="array" ref="G414">IFERROR(
  _xlfn.IFS(F414="Current City","No Direction",
    OR(F414&gt;=337.5,F414&lt;22.5),"N",
    F414&lt;67.5,"NE",
    F414&lt;112.5,"E",
    F414&lt;157.5,"SE",
    F414&lt;202.5,"S",
    F414&lt;247.5,"SW",
    F414&lt;292.5,"W",
    F414&lt;337.5,"NW"
  ), "No Direction"
)</f>
        <v>NW</v>
      </c>
    </row>
    <row r="415" spans="1:7" x14ac:dyDescent="0.2">
      <c r="A415" t="s">
        <v>1178</v>
      </c>
      <c r="B415" t="s">
        <v>1201</v>
      </c>
      <c r="C415">
        <v>31.336592638036802</v>
      </c>
      <c r="D415">
        <v>75.476411656441698</v>
      </c>
      <c r="E415">
        <f t="shared" si="12"/>
        <v>1533.4657754263617</v>
      </c>
      <c r="F415" s="34">
        <f t="shared" si="13"/>
        <v>313.11796233788073</v>
      </c>
      <c r="G415" t="str" cm="1">
        <f t="array" ref="G415">IFERROR(
  _xlfn.IFS(F415="Current City","No Direction",
    OR(F415&gt;=337.5,F415&lt;22.5),"N",
    F415&lt;67.5,"NE",
    F415&lt;112.5,"E",
    F415&lt;157.5,"SE",
    F415&lt;202.5,"S",
    F415&lt;247.5,"SW",
    F415&lt;292.5,"W",
    F415&lt;337.5,"NW"
  ), "No Direction"
)</f>
        <v>NW</v>
      </c>
    </row>
    <row r="416" spans="1:7" x14ac:dyDescent="0.2">
      <c r="A416" t="s">
        <v>1178</v>
      </c>
      <c r="B416" t="s">
        <v>1204</v>
      </c>
      <c r="C416">
        <v>30.765963973799099</v>
      </c>
      <c r="D416">
        <v>75.831108515283802</v>
      </c>
      <c r="E416">
        <f t="shared" si="12"/>
        <v>1468.1295432415495</v>
      </c>
      <c r="F416" s="34">
        <f t="shared" si="13"/>
        <v>311.96242826041271</v>
      </c>
      <c r="G416" t="str" cm="1">
        <f t="array" ref="G416">IFERROR(
  _xlfn.IFS(F416="Current City","No Direction",
    OR(F416&gt;=337.5,F416&lt;22.5),"N",
    F416&lt;67.5,"NE",
    F416&lt;112.5,"E",
    F416&lt;157.5,"SE",
    F416&lt;202.5,"S",
    F416&lt;247.5,"SW",
    F416&lt;292.5,"W",
    F416&lt;337.5,"NW"
  ), "No Direction"
)</f>
        <v>NW</v>
      </c>
    </row>
    <row r="417" spans="1:7" x14ac:dyDescent="0.2">
      <c r="A417" t="s">
        <v>1178</v>
      </c>
      <c r="B417" t="s">
        <v>1207</v>
      </c>
      <c r="C417">
        <v>29.919547714285699</v>
      </c>
      <c r="D417">
        <v>75.430492285714294</v>
      </c>
      <c r="E417">
        <f t="shared" si="12"/>
        <v>1445.9380422772163</v>
      </c>
      <c r="F417" s="34">
        <f t="shared" si="13"/>
        <v>308.02589707107768</v>
      </c>
      <c r="G417" t="str" cm="1">
        <f t="array" ref="G417">IFERROR(
  _xlfn.IFS(F417="Current City","No Direction",
    OR(F417&gt;=337.5,F417&lt;22.5),"N",
    F417&lt;67.5,"NE",
    F417&lt;112.5,"E",
    F417&lt;157.5,"SE",
    F417&lt;202.5,"S",
    F417&lt;247.5,"SW",
    F417&lt;292.5,"W",
    F417&lt;337.5,"NW"
  ), "No Direction"
)</f>
        <v>NW</v>
      </c>
    </row>
    <row r="418" spans="1:7" x14ac:dyDescent="0.2">
      <c r="A418" t="s">
        <v>1178</v>
      </c>
      <c r="B418" t="s">
        <v>1209</v>
      </c>
      <c r="C418">
        <v>30.756540067340001</v>
      </c>
      <c r="D418">
        <v>75.160084511784504</v>
      </c>
      <c r="E418">
        <f t="shared" si="12"/>
        <v>1519.4284357227314</v>
      </c>
      <c r="F418" s="34">
        <f t="shared" si="13"/>
        <v>310.47274202481475</v>
      </c>
      <c r="G418" t="str" cm="1">
        <f t="array" ref="G418">IFERROR(
  _xlfn.IFS(F418="Current City","No Direction",
    OR(F418&gt;=337.5,F418&lt;22.5),"N",
    F418&lt;67.5,"NE",
    F418&lt;112.5,"E",
    F418&lt;157.5,"SE",
    F418&lt;202.5,"S",
    F418&lt;247.5,"SW",
    F418&lt;292.5,"W",
    F418&lt;337.5,"NW"
  ), "No Direction"
)</f>
        <v>NW</v>
      </c>
    </row>
    <row r="419" spans="1:7" x14ac:dyDescent="0.2">
      <c r="A419" t="s">
        <v>1178</v>
      </c>
      <c r="B419" t="s">
        <v>1211</v>
      </c>
      <c r="C419">
        <v>30.312433033032999</v>
      </c>
      <c r="D419">
        <v>74.551874774774802</v>
      </c>
      <c r="E419">
        <f t="shared" si="12"/>
        <v>1540.6971363234325</v>
      </c>
      <c r="F419" s="34">
        <f t="shared" si="13"/>
        <v>307.69932971526032</v>
      </c>
      <c r="G419" t="str" cm="1">
        <f t="array" ref="G419">IFERROR(
  _xlfn.IFS(F419="Current City","No Direction",
    OR(F419&gt;=337.5,F419&lt;22.5),"N",
    F419&lt;67.5,"NE",
    F419&lt;112.5,"E",
    F419&lt;157.5,"SE",
    F419&lt;202.5,"S",
    F419&lt;247.5,"SW",
    F419&lt;292.5,"W",
    F419&lt;337.5,"NW"
  ), "No Direction"
)</f>
        <v>NW</v>
      </c>
    </row>
    <row r="420" spans="1:7" x14ac:dyDescent="0.2">
      <c r="A420" t="s">
        <v>1178</v>
      </c>
      <c r="B420" t="s">
        <v>1213</v>
      </c>
      <c r="C420">
        <v>31.133445454545399</v>
      </c>
      <c r="D420">
        <v>76.1019243636364</v>
      </c>
      <c r="E420">
        <f t="shared" si="12"/>
        <v>1472.7919915729426</v>
      </c>
      <c r="F420" s="34">
        <f t="shared" si="13"/>
        <v>313.85399098844829</v>
      </c>
      <c r="G420" t="str" cm="1">
        <f t="array" ref="G420">IFERROR(
  _xlfn.IFS(F420="Current City","No Direction",
    OR(F420&gt;=337.5,F420&lt;22.5),"N",
    F420&lt;67.5,"NE",
    F420&lt;112.5,"E",
    F420&lt;157.5,"SE",
    F420&lt;202.5,"S",
    F420&lt;247.5,"SW",
    F420&lt;292.5,"W",
    F420&lt;337.5,"NW"
  ), "No Direction"
)</f>
        <v>NW</v>
      </c>
    </row>
    <row r="421" spans="1:7" x14ac:dyDescent="0.2">
      <c r="A421" t="s">
        <v>1178</v>
      </c>
      <c r="B421" t="s">
        <v>1215</v>
      </c>
      <c r="C421">
        <v>30.2145403806933</v>
      </c>
      <c r="D421">
        <v>76.275058939496901</v>
      </c>
      <c r="E421">
        <f t="shared" si="12"/>
        <v>1397.4693795440387</v>
      </c>
      <c r="F421" s="34">
        <f t="shared" si="13"/>
        <v>310.99406319216604</v>
      </c>
      <c r="G421" t="str" cm="1">
        <f t="array" ref="G421">IFERROR(
  _xlfn.IFS(F421="Current City","No Direction",
    OR(F421&gt;=337.5,F421&lt;22.5),"N",
    F421&lt;67.5,"NE",
    F421&lt;112.5,"E",
    F421&lt;157.5,"SE",
    F421&lt;202.5,"S",
    F421&lt;247.5,"SW",
    F421&lt;292.5,"W",
    F421&lt;337.5,"NW"
  ), "No Direction"
)</f>
        <v>NW</v>
      </c>
    </row>
    <row r="422" spans="1:7" x14ac:dyDescent="0.2">
      <c r="A422" t="s">
        <v>1178</v>
      </c>
      <c r="B422" t="s">
        <v>1218</v>
      </c>
      <c r="C422">
        <v>30.910937330754301</v>
      </c>
      <c r="D422">
        <v>76.537435009671199</v>
      </c>
      <c r="E422">
        <f t="shared" si="12"/>
        <v>1424.9777902341932</v>
      </c>
      <c r="F422" s="34">
        <f t="shared" si="13"/>
        <v>314.13095884741392</v>
      </c>
      <c r="G422" t="str" cm="1">
        <f t="array" ref="G422">IFERROR(
  _xlfn.IFS(F422="Current City","No Direction",
    OR(F422&gt;=337.5,F422&lt;22.5),"N",
    F422&lt;67.5,"NE",
    F422&lt;112.5,"E",
    F422&lt;157.5,"SE",
    F422&lt;202.5,"S",
    F422&lt;247.5,"SW",
    F422&lt;292.5,"W",
    F422&lt;337.5,"NW"
  ), "No Direction"
)</f>
        <v>NW</v>
      </c>
    </row>
    <row r="423" spans="1:7" x14ac:dyDescent="0.2">
      <c r="A423" t="s">
        <v>1178</v>
      </c>
      <c r="B423" t="s">
        <v>1221</v>
      </c>
      <c r="C423">
        <v>30.185045204336799</v>
      </c>
      <c r="D423">
        <v>75.894370141784904</v>
      </c>
      <c r="E423">
        <f t="shared" si="12"/>
        <v>1425.3316198689411</v>
      </c>
      <c r="F423" s="34">
        <f t="shared" si="13"/>
        <v>310.01432076491966</v>
      </c>
      <c r="G423" t="str" cm="1">
        <f t="array" ref="G423">IFERROR(
  _xlfn.IFS(F423="Current City","No Direction",
    OR(F423&gt;=337.5,F423&lt;22.5),"N",
    F423&lt;67.5,"NE",
    F423&lt;112.5,"E",
    F423&lt;157.5,"SE",
    F423&lt;202.5,"S",
    F423&lt;247.5,"SW",
    F423&lt;292.5,"W",
    F423&lt;337.5,"NW"
  ), "No Direction"
)</f>
        <v>NW</v>
      </c>
    </row>
    <row r="424" spans="1:7" x14ac:dyDescent="0.2">
      <c r="A424" t="s">
        <v>1224</v>
      </c>
      <c r="B424" t="s">
        <v>1225</v>
      </c>
      <c r="C424">
        <v>26.1993003787879</v>
      </c>
      <c r="D424">
        <v>74.699041919191899</v>
      </c>
      <c r="E424">
        <f t="shared" si="12"/>
        <v>1339.4908898605502</v>
      </c>
      <c r="F424" s="34">
        <f t="shared" si="13"/>
        <v>291.11341090065162</v>
      </c>
      <c r="G424" t="str" cm="1">
        <f t="array" ref="G424">IFERROR(
  _xlfn.IFS(F424="Current City","No Direction",
    OR(F424&gt;=337.5,F424&lt;22.5),"N",
    F424&lt;67.5,"NE",
    F424&lt;112.5,"E",
    F424&lt;157.5,"SE",
    F424&lt;202.5,"S",
    F424&lt;247.5,"SW",
    F424&lt;292.5,"W",
    F424&lt;337.5,"NW"
  ), "No Direction"
)</f>
        <v>W</v>
      </c>
    </row>
    <row r="425" spans="1:7" x14ac:dyDescent="0.2">
      <c r="A425" t="s">
        <v>1224</v>
      </c>
      <c r="B425" t="s">
        <v>1227</v>
      </c>
      <c r="C425">
        <v>27.5527173803526</v>
      </c>
      <c r="D425">
        <v>76.653596305625598</v>
      </c>
      <c r="E425">
        <f t="shared" si="12"/>
        <v>1212.1502585774574</v>
      </c>
      <c r="F425" s="34">
        <f t="shared" si="13"/>
        <v>300.62017676351371</v>
      </c>
      <c r="G425" t="str" cm="1">
        <f t="array" ref="G425">IFERROR(
  _xlfn.IFS(F425="Current City","No Direction",
    OR(F425&gt;=337.5,F425&lt;22.5),"N",
    F425&lt;67.5,"NE",
    F425&lt;112.5,"E",
    F425&lt;157.5,"SE",
    F425&lt;202.5,"S",
    F425&lt;247.5,"SW",
    F425&lt;292.5,"W",
    F425&lt;337.5,"NW"
  ), "No Direction"
)</f>
        <v>NW</v>
      </c>
    </row>
    <row r="426" spans="1:7" x14ac:dyDescent="0.2">
      <c r="A426" t="s">
        <v>1224</v>
      </c>
      <c r="B426" t="s">
        <v>1230</v>
      </c>
      <c r="C426">
        <v>23.453642032967</v>
      </c>
      <c r="D426">
        <v>74.442468681318601</v>
      </c>
      <c r="E426">
        <f t="shared" si="12"/>
        <v>1315.1469054618854</v>
      </c>
      <c r="F426" s="34">
        <f t="shared" si="13"/>
        <v>277.80399108721065</v>
      </c>
      <c r="G426" t="str" cm="1">
        <f t="array" ref="G426">IFERROR(
  _xlfn.IFS(F426="Current City","No Direction",
    OR(F426&gt;=337.5,F426&lt;22.5),"N",
    F426&lt;67.5,"NE",
    F426&lt;112.5,"E",
    F426&lt;157.5,"SE",
    F426&lt;202.5,"S",
    F426&lt;247.5,"SW",
    F426&lt;292.5,"W",
    F426&lt;337.5,"NW"
  ), "No Direction"
)</f>
        <v>W</v>
      </c>
    </row>
    <row r="427" spans="1:7" x14ac:dyDescent="0.2">
      <c r="A427" t="s">
        <v>1224</v>
      </c>
      <c r="B427" t="s">
        <v>1233</v>
      </c>
      <c r="C427">
        <v>24.980232432432398</v>
      </c>
      <c r="D427">
        <v>76.8621065182829</v>
      </c>
      <c r="E427">
        <f t="shared" si="12"/>
        <v>1095.2363681282204</v>
      </c>
      <c r="F427" s="34">
        <f t="shared" si="13"/>
        <v>287.49822780516359</v>
      </c>
      <c r="G427" t="str" cm="1">
        <f t="array" ref="G427">IFERROR(
  _xlfn.IFS(F427="Current City","No Direction",
    OR(F427&gt;=337.5,F427&lt;22.5),"N",
    F427&lt;67.5,"NE",
    F427&lt;112.5,"E",
    F427&lt;157.5,"SE",
    F427&lt;202.5,"S",
    F427&lt;247.5,"SW",
    F427&lt;292.5,"W",
    F427&lt;337.5,"NW"
  ), "No Direction"
)</f>
        <v>W</v>
      </c>
    </row>
    <row r="428" spans="1:7" x14ac:dyDescent="0.2">
      <c r="A428" t="s">
        <v>1224</v>
      </c>
      <c r="B428" t="s">
        <v>1236</v>
      </c>
      <c r="C428">
        <v>25.770709080459699</v>
      </c>
      <c r="D428">
        <v>71.502971264367801</v>
      </c>
      <c r="E428">
        <f t="shared" si="12"/>
        <v>1640.263611406865</v>
      </c>
      <c r="F428" s="34">
        <f t="shared" si="13"/>
        <v>286.52089653246594</v>
      </c>
      <c r="G428" t="str" cm="1">
        <f t="array" ref="G428">IFERROR(
  _xlfn.IFS(F428="Current City","No Direction",
    OR(F428&gt;=337.5,F428&lt;22.5),"N",
    F428&lt;67.5,"NE",
    F428&lt;112.5,"E",
    F428&lt;157.5,"SE",
    F428&lt;202.5,"S",
    F428&lt;247.5,"SW",
    F428&lt;292.5,"W",
    F428&lt;337.5,"NW"
  ), "No Direction"
)</f>
        <v>W</v>
      </c>
    </row>
    <row r="429" spans="1:7" x14ac:dyDescent="0.2">
      <c r="A429" t="s">
        <v>1224</v>
      </c>
      <c r="B429" t="s">
        <v>1239</v>
      </c>
      <c r="C429">
        <v>27.3241185803757</v>
      </c>
      <c r="D429">
        <v>77.217520772442498</v>
      </c>
      <c r="E429">
        <f t="shared" si="12"/>
        <v>1150.997609206343</v>
      </c>
      <c r="F429" s="34">
        <f t="shared" si="13"/>
        <v>300.71230597120513</v>
      </c>
      <c r="G429" t="str" cm="1">
        <f t="array" ref="G429">IFERROR(
  _xlfn.IFS(F429="Current City","No Direction",
    OR(F429&gt;=337.5,F429&lt;22.5),"N",
    F429&lt;67.5,"NE",
    F429&lt;112.5,"E",
    F429&lt;157.5,"SE",
    F429&lt;202.5,"S",
    F429&lt;247.5,"SW",
    F429&lt;292.5,"W",
    F429&lt;337.5,"NW"
  ), "No Direction"
)</f>
        <v>NW</v>
      </c>
    </row>
    <row r="430" spans="1:7" x14ac:dyDescent="0.2">
      <c r="A430" t="s">
        <v>1224</v>
      </c>
      <c r="B430" t="s">
        <v>1242</v>
      </c>
      <c r="C430">
        <v>25.451197677595601</v>
      </c>
      <c r="D430">
        <v>74.639475956284102</v>
      </c>
      <c r="E430">
        <f t="shared" si="12"/>
        <v>1324.8754582638705</v>
      </c>
      <c r="F430" s="34">
        <f t="shared" si="13"/>
        <v>287.55557017525814</v>
      </c>
      <c r="G430" t="str" cm="1">
        <f t="array" ref="G430">IFERROR(
  _xlfn.IFS(F430="Current City","No Direction",
    OR(F430&gt;=337.5,F430&lt;22.5),"N",
    F430&lt;67.5,"NE",
    F430&lt;112.5,"E",
    F430&lt;157.5,"SE",
    F430&lt;202.5,"S",
    F430&lt;247.5,"SW",
    F430&lt;292.5,"W",
    F430&lt;337.5,"NW"
  ), "No Direction"
)</f>
        <v>W</v>
      </c>
    </row>
    <row r="431" spans="1:7" x14ac:dyDescent="0.2">
      <c r="A431" t="s">
        <v>1224</v>
      </c>
      <c r="B431" t="s">
        <v>1245</v>
      </c>
      <c r="C431">
        <v>28.1248906832298</v>
      </c>
      <c r="D431">
        <v>73.2694332298137</v>
      </c>
      <c r="E431">
        <f t="shared" si="12"/>
        <v>1542.3946503940065</v>
      </c>
      <c r="F431" s="34">
        <f t="shared" si="13"/>
        <v>297.43156276714183</v>
      </c>
      <c r="G431" t="str" cm="1">
        <f t="array" ref="G431">IFERROR(
  _xlfn.IFS(F431="Current City","No Direction",
    OR(F431&gt;=337.5,F431&lt;22.5),"N",
    F431&lt;67.5,"NE",
    F431&lt;112.5,"E",
    F431&lt;157.5,"SE",
    F431&lt;202.5,"S",
    F431&lt;247.5,"SW",
    F431&lt;292.5,"W",
    F431&lt;337.5,"NW"
  ), "No Direction"
)</f>
        <v>NW</v>
      </c>
    </row>
    <row r="432" spans="1:7" x14ac:dyDescent="0.2">
      <c r="A432" t="s">
        <v>1224</v>
      </c>
      <c r="B432" t="s">
        <v>1248</v>
      </c>
      <c r="C432">
        <v>25.4858071604937</v>
      </c>
      <c r="D432">
        <v>75.799840740740706</v>
      </c>
      <c r="E432">
        <f t="shared" si="12"/>
        <v>1212.4252202216248</v>
      </c>
      <c r="F432" s="34">
        <f t="shared" si="13"/>
        <v>288.9501794872711</v>
      </c>
      <c r="G432" t="str" cm="1">
        <f t="array" ref="G432">IFERROR(
  _xlfn.IFS(F432="Current City","No Direction",
    OR(F432&gt;=337.5,F432&lt;22.5),"N",
    F432&lt;67.5,"NE",
    F432&lt;112.5,"E",
    F432&lt;157.5,"SE",
    F432&lt;202.5,"S",
    F432&lt;247.5,"SW",
    F432&lt;292.5,"W",
    F432&lt;337.5,"NW"
  ), "No Direction"
)</f>
        <v>W</v>
      </c>
    </row>
    <row r="433" spans="1:7" x14ac:dyDescent="0.2">
      <c r="A433" t="s">
        <v>1224</v>
      </c>
      <c r="B433" t="s">
        <v>1251</v>
      </c>
      <c r="C433">
        <v>24.631623761665399</v>
      </c>
      <c r="D433">
        <v>74.800109978463794</v>
      </c>
      <c r="E433">
        <f t="shared" si="12"/>
        <v>1292.188568045342</v>
      </c>
      <c r="F433" s="34">
        <f t="shared" si="13"/>
        <v>283.73616624642756</v>
      </c>
      <c r="G433" t="str" cm="1">
        <f t="array" ref="G433">IFERROR(
  _xlfn.IFS(F433="Current City","No Direction",
    OR(F433&gt;=337.5,F433&lt;22.5),"N",
    F433&lt;67.5,"NE",
    F433&lt;112.5,"E",
    F433&lt;157.5,"SE",
    F433&lt;202.5,"S",
    F433&lt;247.5,"SW",
    F433&lt;292.5,"W",
    F433&lt;337.5,"NW"
  ), "No Direction"
)</f>
        <v>W</v>
      </c>
    </row>
    <row r="434" spans="1:7" x14ac:dyDescent="0.2">
      <c r="A434" t="s">
        <v>1224</v>
      </c>
      <c r="B434" t="s">
        <v>1254</v>
      </c>
      <c r="C434">
        <v>28.2933037553648</v>
      </c>
      <c r="D434">
        <v>74.658464270386204</v>
      </c>
      <c r="E434">
        <f t="shared" si="12"/>
        <v>1424.5310713393585</v>
      </c>
      <c r="F434" s="34">
        <f t="shared" si="13"/>
        <v>300.18547781149147</v>
      </c>
      <c r="G434" t="str" cm="1">
        <f t="array" ref="G434">IFERROR(
  _xlfn.IFS(F434="Current City","No Direction",
    OR(F434&gt;=337.5,F434&lt;22.5),"N",
    F434&lt;67.5,"NE",
    F434&lt;112.5,"E",
    F434&lt;157.5,"SE",
    F434&lt;202.5,"S",
    F434&lt;247.5,"SW",
    F434&lt;292.5,"W",
    F434&lt;337.5,"NW"
  ), "No Direction"
)</f>
        <v>NW</v>
      </c>
    </row>
    <row r="435" spans="1:7" x14ac:dyDescent="0.2">
      <c r="A435" t="s">
        <v>1224</v>
      </c>
      <c r="B435" t="s">
        <v>1257</v>
      </c>
      <c r="C435">
        <v>26.9123481762918</v>
      </c>
      <c r="D435">
        <v>76.573420972644399</v>
      </c>
      <c r="E435">
        <f t="shared" si="12"/>
        <v>1189.8027332630545</v>
      </c>
      <c r="F435" s="34">
        <f t="shared" si="13"/>
        <v>297.35277822980686</v>
      </c>
      <c r="G435" t="str" cm="1">
        <f t="array" ref="G435">IFERROR(
  _xlfn.IFS(F435="Current City","No Direction",
    OR(F435&gt;=337.5,F435&lt;22.5),"N",
    F435&lt;67.5,"NE",
    F435&lt;112.5,"E",
    F435&lt;157.5,"SE",
    F435&lt;202.5,"S",
    F435&lt;247.5,"SW",
    F435&lt;292.5,"W",
    F435&lt;337.5,"NW"
  ), "No Direction"
)</f>
        <v>NW</v>
      </c>
    </row>
    <row r="436" spans="1:7" x14ac:dyDescent="0.2">
      <c r="A436" t="s">
        <v>1224</v>
      </c>
      <c r="B436" t="s">
        <v>1260</v>
      </c>
      <c r="C436">
        <v>26.723970549450499</v>
      </c>
      <c r="D436">
        <v>77.744762197802203</v>
      </c>
      <c r="E436">
        <f t="shared" si="12"/>
        <v>1075.0166885505603</v>
      </c>
      <c r="F436" s="34">
        <f t="shared" si="13"/>
        <v>298.76980146984158</v>
      </c>
      <c r="G436" t="str" cm="1">
        <f t="array" ref="G436">IFERROR(
  _xlfn.IFS(F436="Current City","No Direction",
    OR(F436&gt;=337.5,F436&lt;22.5),"N",
    F436&lt;67.5,"NE",
    F436&lt;112.5,"E",
    F436&lt;157.5,"SE",
    F436&lt;202.5,"S",
    F436&lt;247.5,"SW",
    F436&lt;292.5,"W",
    F436&lt;337.5,"NW"
  ), "No Direction"
)</f>
        <v>NW</v>
      </c>
    </row>
    <row r="437" spans="1:7" x14ac:dyDescent="0.2">
      <c r="A437" t="s">
        <v>1224</v>
      </c>
      <c r="B437" t="s">
        <v>1263</v>
      </c>
      <c r="C437">
        <v>23.751048076922999</v>
      </c>
      <c r="D437">
        <v>73.847656410256405</v>
      </c>
      <c r="E437">
        <f t="shared" si="12"/>
        <v>1377.5654724176579</v>
      </c>
      <c r="F437" s="34">
        <f t="shared" si="13"/>
        <v>279.06952905638082</v>
      </c>
      <c r="G437" t="str" cm="1">
        <f t="array" ref="G437">IFERROR(
  _xlfn.IFS(F437="Current City","No Direction",
    OR(F437&gt;=337.5,F437&lt;22.5),"N",
    F437&lt;67.5,"NE",
    F437&lt;112.5,"E",
    F437&lt;157.5,"SE",
    F437&lt;202.5,"S",
    F437&lt;247.5,"SW",
    F437&lt;292.5,"W",
    F437&lt;337.5,"NW"
  ), "No Direction"
)</f>
        <v>W</v>
      </c>
    </row>
    <row r="438" spans="1:7" x14ac:dyDescent="0.2">
      <c r="A438" t="s">
        <v>1224</v>
      </c>
      <c r="B438" t="s">
        <v>1266</v>
      </c>
      <c r="C438">
        <v>29.256785412667899</v>
      </c>
      <c r="D438">
        <v>73.561923032629394</v>
      </c>
      <c r="E438">
        <f t="shared" si="12"/>
        <v>1567.111845697985</v>
      </c>
      <c r="F438" s="34">
        <f t="shared" si="13"/>
        <v>302.1474685437135</v>
      </c>
      <c r="G438" t="str" cm="1">
        <f t="array" ref="G438">IFERROR(
  _xlfn.IFS(F438="Current City","No Direction",
    OR(F438&gt;=337.5,F438&lt;22.5),"N",
    F438&lt;67.5,"NE",
    F438&lt;112.5,"E",
    F438&lt;157.5,"SE",
    F438&lt;202.5,"S",
    F438&lt;247.5,"SW",
    F438&lt;292.5,"W",
    F438&lt;337.5,"NW"
  ), "No Direction"
)</f>
        <v>NW</v>
      </c>
    </row>
    <row r="439" spans="1:7" x14ac:dyDescent="0.2">
      <c r="A439" t="s">
        <v>1224</v>
      </c>
      <c r="B439" t="s">
        <v>1269</v>
      </c>
      <c r="C439">
        <v>29.181335179153098</v>
      </c>
      <c r="D439">
        <v>74.746325732898995</v>
      </c>
      <c r="E439">
        <f t="shared" si="12"/>
        <v>1461.1070653438005</v>
      </c>
      <c r="F439" s="34">
        <f t="shared" si="13"/>
        <v>303.87600454424751</v>
      </c>
      <c r="G439" t="str" cm="1">
        <f t="array" ref="G439">IFERROR(
  _xlfn.IFS(F439="Current City","No Direction",
    OR(F439&gt;=337.5,F439&lt;22.5),"N",
    F439&lt;67.5,"NE",
    F439&lt;112.5,"E",
    F439&lt;157.5,"SE",
    F439&lt;202.5,"S",
    F439&lt;247.5,"SW",
    F439&lt;292.5,"W",
    F439&lt;337.5,"NW"
  ), "No Direction"
)</f>
        <v>NW</v>
      </c>
    </row>
    <row r="440" spans="1:7" x14ac:dyDescent="0.2">
      <c r="A440" t="s">
        <v>1224</v>
      </c>
      <c r="B440" t="s">
        <v>1271</v>
      </c>
      <c r="C440">
        <v>27.0334592901878</v>
      </c>
      <c r="D440">
        <v>75.771172860125304</v>
      </c>
      <c r="E440">
        <f t="shared" si="12"/>
        <v>1268.4688388246552</v>
      </c>
      <c r="F440" s="34">
        <f t="shared" si="13"/>
        <v>296.52175031854091</v>
      </c>
      <c r="G440" t="str" cm="1">
        <f t="array" ref="G440">IFERROR(
  _xlfn.IFS(F440="Current City","No Direction",
    OR(F440&gt;=337.5,F440&lt;22.5),"N",
    F440&lt;67.5,"NE",
    F440&lt;112.5,"E",
    F440&lt;157.5,"SE",
    F440&lt;202.5,"S",
    F440&lt;247.5,"SW",
    F440&lt;292.5,"W",
    F440&lt;337.5,"NW"
  ), "No Direction"
)</f>
        <v>NW</v>
      </c>
    </row>
    <row r="441" spans="1:7" x14ac:dyDescent="0.2">
      <c r="A441" t="s">
        <v>1224</v>
      </c>
      <c r="B441" t="s">
        <v>1274</v>
      </c>
      <c r="C441">
        <v>26.869008385481798</v>
      </c>
      <c r="D441">
        <v>71.183718773466794</v>
      </c>
      <c r="E441">
        <f t="shared" si="12"/>
        <v>1696.6059781280621</v>
      </c>
      <c r="F441" s="34">
        <f t="shared" si="13"/>
        <v>290.44487656908808</v>
      </c>
      <c r="G441" t="str" cm="1">
        <f t="array" ref="G441">IFERROR(
  _xlfn.IFS(F441="Current City","No Direction",
    OR(F441&gt;=337.5,F441&lt;22.5),"N",
    F441&lt;67.5,"NE",
    F441&lt;112.5,"E",
    F441&lt;157.5,"SE",
    F441&lt;202.5,"S",
    F441&lt;247.5,"SW",
    F441&lt;292.5,"W",
    F441&lt;337.5,"NW"
  ), "No Direction"
)</f>
        <v>W</v>
      </c>
    </row>
    <row r="442" spans="1:7" x14ac:dyDescent="0.2">
      <c r="A442" t="s">
        <v>1224</v>
      </c>
      <c r="B442" t="s">
        <v>1277</v>
      </c>
      <c r="C442">
        <v>25.075780937972699</v>
      </c>
      <c r="D442">
        <v>72.186472617246594</v>
      </c>
      <c r="E442">
        <f t="shared" si="12"/>
        <v>1560.2811717239636</v>
      </c>
      <c r="F442" s="34">
        <f t="shared" si="13"/>
        <v>284.151348511837</v>
      </c>
      <c r="G442" t="str" cm="1">
        <f t="array" ref="G442">IFERROR(
  _xlfn.IFS(F442="Current City","No Direction",
    OR(F442&gt;=337.5,F442&lt;22.5),"N",
    F442&lt;67.5,"NE",
    F442&lt;112.5,"E",
    F442&lt;157.5,"SE",
    F442&lt;202.5,"S",
    F442&lt;247.5,"SW",
    F442&lt;292.5,"W",
    F442&lt;337.5,"NW"
  ), "No Direction"
)</f>
        <v>W</v>
      </c>
    </row>
    <row r="443" spans="1:7" x14ac:dyDescent="0.2">
      <c r="A443" t="s">
        <v>1224</v>
      </c>
      <c r="B443" t="s">
        <v>1280</v>
      </c>
      <c r="C443">
        <v>24.247255414746501</v>
      </c>
      <c r="D443">
        <v>76.112428917050593</v>
      </c>
      <c r="E443">
        <f t="shared" si="12"/>
        <v>1154.4720373971722</v>
      </c>
      <c r="F443" s="34">
        <f t="shared" si="13"/>
        <v>282.67098816619318</v>
      </c>
      <c r="G443" t="str" cm="1">
        <f t="array" ref="G443">IFERROR(
  _xlfn.IFS(F443="Current City","No Direction",
    OR(F443&gt;=337.5,F443&lt;22.5),"N",
    F443&lt;67.5,"NE",
    F443&lt;112.5,"E",
    F443&lt;157.5,"SE",
    F443&lt;202.5,"S",
    F443&lt;247.5,"SW",
    F443&lt;292.5,"W",
    F443&lt;337.5,"NW"
  ), "No Direction"
)</f>
        <v>W</v>
      </c>
    </row>
    <row r="444" spans="1:7" x14ac:dyDescent="0.2">
      <c r="A444" t="s">
        <v>1224</v>
      </c>
      <c r="B444" t="s">
        <v>1283</v>
      </c>
      <c r="C444">
        <v>28.135174012474</v>
      </c>
      <c r="D444">
        <v>75.528408939708896</v>
      </c>
      <c r="E444">
        <f t="shared" si="12"/>
        <v>1339.9903348578239</v>
      </c>
      <c r="F444" s="34">
        <f t="shared" si="13"/>
        <v>301.05006413979532</v>
      </c>
      <c r="G444" t="str" cm="1">
        <f t="array" ref="G444">IFERROR(
  _xlfn.IFS(F444="Current City","No Direction",
    OR(F444&gt;=337.5,F444&lt;22.5),"N",
    F444&lt;67.5,"NE",
    F444&lt;112.5,"E",
    F444&lt;157.5,"SE",
    F444&lt;202.5,"S",
    F444&lt;247.5,"SW",
    F444&lt;292.5,"W",
    F444&lt;337.5,"NW"
  ), "No Direction"
)</f>
        <v>NW</v>
      </c>
    </row>
    <row r="445" spans="1:7" x14ac:dyDescent="0.2">
      <c r="A445" t="s">
        <v>1224</v>
      </c>
      <c r="B445" t="s">
        <v>1286</v>
      </c>
      <c r="C445">
        <v>26.6784608385369</v>
      </c>
      <c r="D445">
        <v>73.004508474576198</v>
      </c>
      <c r="E445">
        <f t="shared" si="12"/>
        <v>1516.3264428594898</v>
      </c>
      <c r="F445" s="34">
        <f t="shared" si="13"/>
        <v>291.34434284640196</v>
      </c>
      <c r="G445" t="str" cm="1">
        <f t="array" ref="G445">IFERROR(
  _xlfn.IFS(F445="Current City","No Direction",
    OR(F445&gt;=337.5,F445&lt;22.5),"N",
    F445&lt;67.5,"NE",
    F445&lt;112.5,"E",
    F445&lt;157.5,"SE",
    F445&lt;202.5,"S",
    F445&lt;247.5,"SW",
    F445&lt;292.5,"W",
    F445&lt;337.5,"NW"
  ), "No Direction"
)</f>
        <v>W</v>
      </c>
    </row>
    <row r="446" spans="1:7" x14ac:dyDescent="0.2">
      <c r="A446" t="s">
        <v>1224</v>
      </c>
      <c r="B446" t="s">
        <v>1289</v>
      </c>
      <c r="C446">
        <v>26.519015555555502</v>
      </c>
      <c r="D446">
        <v>76.960818181818098</v>
      </c>
      <c r="E446">
        <f t="shared" si="12"/>
        <v>1137.5782676008043</v>
      </c>
      <c r="F446" s="34">
        <f t="shared" si="13"/>
        <v>296.07465618798398</v>
      </c>
      <c r="G446" t="str" cm="1">
        <f t="array" ref="G446">IFERROR(
  _xlfn.IFS(F446="Current City","No Direction",
    OR(F446&gt;=337.5,F446&lt;22.5),"N",
    F446&lt;67.5,"NE",
    F446&lt;112.5,"E",
    F446&lt;157.5,"SE",
    F446&lt;202.5,"S",
    F446&lt;247.5,"SW",
    F446&lt;292.5,"W",
    F446&lt;337.5,"NW"
  ), "No Direction"
)</f>
        <v>NW</v>
      </c>
    </row>
    <row r="447" spans="1:7" x14ac:dyDescent="0.2">
      <c r="A447" t="s">
        <v>1224</v>
      </c>
      <c r="B447" t="s">
        <v>1292</v>
      </c>
      <c r="C447">
        <v>25.175718079999999</v>
      </c>
      <c r="D447">
        <v>76.186189279999994</v>
      </c>
      <c r="E447">
        <f t="shared" si="12"/>
        <v>1166.4865901179594</v>
      </c>
      <c r="F447" s="34">
        <f t="shared" si="13"/>
        <v>287.77681546983456</v>
      </c>
      <c r="G447" t="str" cm="1">
        <f t="array" ref="G447">IFERROR(
  _xlfn.IFS(F447="Current City","No Direction",
    OR(F447&gt;=337.5,F447&lt;22.5),"N",
    F447&lt;67.5,"NE",
    F447&lt;112.5,"E",
    F447&lt;157.5,"SE",
    F447&lt;202.5,"S",
    F447&lt;247.5,"SW",
    F447&lt;292.5,"W",
    F447&lt;337.5,"NW"
  ), "No Direction"
)</f>
        <v>W</v>
      </c>
    </row>
    <row r="448" spans="1:7" x14ac:dyDescent="0.2">
      <c r="A448" t="s">
        <v>1224</v>
      </c>
      <c r="B448" t="s">
        <v>1295</v>
      </c>
      <c r="C448">
        <v>27.0786201604814</v>
      </c>
      <c r="D448">
        <v>74.142156670010095</v>
      </c>
      <c r="E448">
        <f t="shared" si="12"/>
        <v>1421.5577543020092</v>
      </c>
      <c r="F448" s="34">
        <f t="shared" si="13"/>
        <v>294.3250961514986</v>
      </c>
      <c r="G448" t="str" cm="1">
        <f t="array" ref="G448">IFERROR(
  _xlfn.IFS(F448="Current City","No Direction",
    OR(F448&gt;=337.5,F448&lt;22.5),"N",
    F448&lt;67.5,"NE",
    F448&lt;112.5,"E",
    F448&lt;157.5,"SE",
    F448&lt;202.5,"S",
    F448&lt;247.5,"SW",
    F448&lt;292.5,"W",
    F448&lt;337.5,"NW"
  ), "No Direction"
)</f>
        <v>NW</v>
      </c>
    </row>
    <row r="449" spans="1:7" x14ac:dyDescent="0.2">
      <c r="A449" t="s">
        <v>1224</v>
      </c>
      <c r="B449" t="s">
        <v>1298</v>
      </c>
      <c r="C449">
        <v>25.8049039354187</v>
      </c>
      <c r="D449">
        <v>73.552856407668997</v>
      </c>
      <c r="E449">
        <f t="shared" si="12"/>
        <v>1439.7472458613813</v>
      </c>
      <c r="F449" s="34">
        <f t="shared" si="13"/>
        <v>288.17445982745949</v>
      </c>
      <c r="G449" t="str" cm="1">
        <f t="array" ref="G449">IFERROR(
  _xlfn.IFS(F449="Current City","No Direction",
    OR(F449&gt;=337.5,F449&lt;22.5),"N",
    F449&lt;67.5,"NE",
    F449&lt;112.5,"E",
    F449&lt;157.5,"SE",
    F449&lt;202.5,"S",
    F449&lt;247.5,"SW",
    F449&lt;292.5,"W",
    F449&lt;337.5,"NW"
  ), "No Direction"
)</f>
        <v>W</v>
      </c>
    </row>
    <row r="450" spans="1:7" x14ac:dyDescent="0.2">
      <c r="A450" t="s">
        <v>1224</v>
      </c>
      <c r="B450" t="s">
        <v>1301</v>
      </c>
      <c r="C450">
        <v>25.248947674418499</v>
      </c>
      <c r="D450">
        <v>73.965702159468407</v>
      </c>
      <c r="E450">
        <f t="shared" ref="E450:E513" si="14">2*6371*ASIN(SQRT(
    SIN(RADIANS(C450-$M$7)/2)^2 +
    COS(RADIANS($M$7)) * COS(RADIANS(C450)) *
    SIN(RADIANS(D450-$M$8)/2)^2
))</f>
        <v>1386.7132279860384</v>
      </c>
      <c r="F450" s="34">
        <f t="shared" si="13"/>
        <v>286.04011600728825</v>
      </c>
      <c r="G450" t="str" cm="1">
        <f t="array" ref="G450">IFERROR(
  _xlfn.IFS(F450="Current City","No Direction",
    OR(F450&gt;=337.5,F450&lt;22.5),"N",
    F450&lt;67.5,"NE",
    F450&lt;112.5,"E",
    F450&lt;157.5,"SE",
    F450&lt;202.5,"S",
    F450&lt;247.5,"SW",
    F450&lt;292.5,"W",
    F450&lt;337.5,"NW"
  ), "No Direction"
)</f>
        <v>W</v>
      </c>
    </row>
    <row r="451" spans="1:7" x14ac:dyDescent="0.2">
      <c r="A451" t="s">
        <v>1224</v>
      </c>
      <c r="B451" t="s">
        <v>1304</v>
      </c>
      <c r="C451">
        <v>26.251081180223199</v>
      </c>
      <c r="D451">
        <v>76.4219283891548</v>
      </c>
      <c r="E451">
        <f t="shared" si="14"/>
        <v>1177.3923547439113</v>
      </c>
      <c r="F451" s="34">
        <f t="shared" ref="F451:F514" si="15">IFERROR(MOD(DEGREES(ATAN2(COS(RADIANS($M$7))*SIN(RADIANS(C451))-SIN(RADIANS($M$7))*COS(RADIANS(C451))*COS(RADIANS(D451-$M$8)), SIN(RADIANS(D451-$M$8))*COS(RADIANS(C451))))+360, 360),"Current City")</f>
        <v>293.74810642814953</v>
      </c>
      <c r="G451" t="str" cm="1">
        <f t="array" ref="G451">IFERROR(
  _xlfn.IFS(F451="Current City","No Direction",
    OR(F451&gt;=337.5,F451&lt;22.5),"N",
    F451&lt;67.5,"NE",
    F451&lt;112.5,"E",
    F451&lt;157.5,"SE",
    F451&lt;202.5,"S",
    F451&lt;247.5,"SW",
    F451&lt;292.5,"W",
    F451&lt;337.5,"NW"
  ), "No Direction"
)</f>
        <v>NW</v>
      </c>
    </row>
    <row r="452" spans="1:7" x14ac:dyDescent="0.2">
      <c r="A452" t="s">
        <v>1224</v>
      </c>
      <c r="B452" t="s">
        <v>1306</v>
      </c>
      <c r="C452">
        <v>27.6464405864197</v>
      </c>
      <c r="D452">
        <v>75.293174228395003</v>
      </c>
      <c r="E452">
        <f t="shared" si="14"/>
        <v>1338.2442907667396</v>
      </c>
      <c r="F452" s="34">
        <f t="shared" si="15"/>
        <v>298.50542047378502</v>
      </c>
      <c r="G452" t="str" cm="1">
        <f t="array" ref="G452">IFERROR(
  _xlfn.IFS(F452="Current City","No Direction",
    OR(F452&gt;=337.5,F452&lt;22.5),"N",
    F452&lt;67.5,"NE",
    F452&lt;112.5,"E",
    F452&lt;157.5,"SE",
    F452&lt;202.5,"S",
    F452&lt;247.5,"SW",
    F452&lt;292.5,"W",
    F452&lt;337.5,"NW"
  ), "No Direction"
)</f>
        <v>NW</v>
      </c>
    </row>
    <row r="453" spans="1:7" x14ac:dyDescent="0.2">
      <c r="A453" t="s">
        <v>1224</v>
      </c>
      <c r="B453" t="s">
        <v>1309</v>
      </c>
      <c r="C453">
        <v>24.797690526315801</v>
      </c>
      <c r="D453">
        <v>72.753091315789405</v>
      </c>
      <c r="E453">
        <f t="shared" si="14"/>
        <v>1499.4927793253923</v>
      </c>
      <c r="F453" s="34">
        <f t="shared" si="15"/>
        <v>283.28481122189544</v>
      </c>
      <c r="G453" t="str" cm="1">
        <f t="array" ref="G453">IFERROR(
  _xlfn.IFS(F453="Current City","No Direction",
    OR(F453&gt;=337.5,F453&lt;22.5),"N",
    F453&lt;67.5,"NE",
    F453&lt;112.5,"E",
    F453&lt;157.5,"SE",
    F453&lt;202.5,"S",
    F453&lt;247.5,"SW",
    F453&lt;292.5,"W",
    F453&lt;337.5,"NW"
  ), "No Direction"
)</f>
        <v>W</v>
      </c>
    </row>
    <row r="454" spans="1:7" x14ac:dyDescent="0.2">
      <c r="A454" t="s">
        <v>1224</v>
      </c>
      <c r="B454" t="s">
        <v>1311</v>
      </c>
      <c r="C454">
        <v>26.153935071707899</v>
      </c>
      <c r="D454">
        <v>75.791922164276301</v>
      </c>
      <c r="E454">
        <f t="shared" si="14"/>
        <v>1233.6076816910131</v>
      </c>
      <c r="F454" s="34">
        <f t="shared" si="15"/>
        <v>292.30752840829274</v>
      </c>
      <c r="G454" t="str" cm="1">
        <f t="array" ref="G454">IFERROR(
  _xlfn.IFS(F454="Current City","No Direction",
    OR(F454&gt;=337.5,F454&lt;22.5),"N",
    F454&lt;67.5,"NE",
    F454&lt;112.5,"E",
    F454&lt;157.5,"SE",
    F454&lt;202.5,"S",
    F454&lt;247.5,"SW",
    F454&lt;292.5,"W",
    F454&lt;337.5,"NW"
  ), "No Direction"
)</f>
        <v>W</v>
      </c>
    </row>
    <row r="455" spans="1:7" x14ac:dyDescent="0.2">
      <c r="A455" t="s">
        <v>1224</v>
      </c>
      <c r="B455" t="s">
        <v>1314</v>
      </c>
      <c r="C455">
        <v>24.440767521367398</v>
      </c>
      <c r="D455">
        <v>73.840298397435802</v>
      </c>
      <c r="E455">
        <f t="shared" si="14"/>
        <v>1385.4815634863776</v>
      </c>
      <c r="F455" s="34">
        <f t="shared" si="15"/>
        <v>282.2587226663012</v>
      </c>
      <c r="G455" t="str" cm="1">
        <f t="array" ref="G455">IFERROR(
  _xlfn.IFS(F455="Current City","No Direction",
    OR(F455&gt;=337.5,F455&lt;22.5),"N",
    F455&lt;67.5,"NE",
    F455&lt;112.5,"E",
    F455&lt;157.5,"SE",
    F455&lt;202.5,"S",
    F455&lt;247.5,"SW",
    F455&lt;292.5,"W",
    F455&lt;337.5,"NW"
  ), "No Direction"
)</f>
        <v>W</v>
      </c>
    </row>
    <row r="456" spans="1:7" x14ac:dyDescent="0.2">
      <c r="A456" t="s">
        <v>1317</v>
      </c>
      <c r="B456" t="s">
        <v>1318</v>
      </c>
      <c r="C456">
        <v>27.296003529411699</v>
      </c>
      <c r="D456">
        <v>88.749083921568499</v>
      </c>
      <c r="E456">
        <f t="shared" si="14"/>
        <v>570.3647019988714</v>
      </c>
      <c r="F456" s="34">
        <f t="shared" si="15"/>
        <v>15.267149956081937</v>
      </c>
      <c r="G456" t="str" cm="1">
        <f t="array" ref="G456">IFERROR(
  _xlfn.IFS(F456="Current City","No Direction",
    OR(F456&gt;=337.5,F456&lt;22.5),"N",
    F456&lt;67.5,"NE",
    F456&lt;112.5,"E",
    F456&lt;157.5,"SE",
    F456&lt;202.5,"S",
    F456&lt;247.5,"SW",
    F456&lt;292.5,"W",
    F456&lt;337.5,"NW"
  ), "No Direction"
)</f>
        <v>N</v>
      </c>
    </row>
    <row r="457" spans="1:7" x14ac:dyDescent="0.2">
      <c r="A457" t="s">
        <v>1317</v>
      </c>
      <c r="B457" t="s">
        <v>1321</v>
      </c>
      <c r="C457">
        <v>27.8138100470957</v>
      </c>
      <c r="D457">
        <v>88.542005651491294</v>
      </c>
      <c r="E457">
        <f t="shared" si="14"/>
        <v>621.1780990336398</v>
      </c>
      <c r="F457" s="34">
        <f t="shared" si="15"/>
        <v>11.997827616658412</v>
      </c>
      <c r="G457" t="str" cm="1">
        <f t="array" ref="G457">IFERROR(
  _xlfn.IFS(F457="Current City","No Direction",
    OR(F457&gt;=337.5,F457&lt;22.5),"N",
    F457&lt;67.5,"NE",
    F457&lt;112.5,"E",
    F457&lt;157.5,"SE",
    F457&lt;202.5,"S",
    F457&lt;247.5,"SW",
    F457&lt;292.5,"W",
    F457&lt;337.5,"NW"
  ), "No Direction"
)</f>
        <v>N</v>
      </c>
    </row>
    <row r="458" spans="1:7" x14ac:dyDescent="0.2">
      <c r="A458" t="s">
        <v>1317</v>
      </c>
      <c r="B458" t="s">
        <v>1324</v>
      </c>
      <c r="C458">
        <v>27.278021621621601</v>
      </c>
      <c r="D458">
        <v>88.375385945945894</v>
      </c>
      <c r="E458">
        <f t="shared" si="14"/>
        <v>559.46577358668583</v>
      </c>
      <c r="F458" s="34">
        <f t="shared" si="15"/>
        <v>11.677287896704229</v>
      </c>
      <c r="G458" t="str" cm="1">
        <f t="array" ref="G458">IFERROR(
  _xlfn.IFS(F458="Current City","No Direction",
    OR(F458&gt;=337.5,F458&lt;22.5),"N",
    F458&lt;67.5,"NE",
    F458&lt;112.5,"E",
    F458&lt;157.5,"SE",
    F458&lt;202.5,"S",
    F458&lt;247.5,"SW",
    F458&lt;292.5,"W",
    F458&lt;337.5,"NW"
  ), "No Direction"
)</f>
        <v>N</v>
      </c>
    </row>
    <row r="459" spans="1:7" x14ac:dyDescent="0.2">
      <c r="A459" t="s">
        <v>1317</v>
      </c>
      <c r="B459" t="s">
        <v>1327</v>
      </c>
      <c r="C459">
        <v>27.3359816</v>
      </c>
      <c r="D459">
        <v>88.158011999999999</v>
      </c>
      <c r="E459">
        <f t="shared" si="14"/>
        <v>561.70593362165675</v>
      </c>
      <c r="F459" s="34">
        <f t="shared" si="15"/>
        <v>9.3938220161353456</v>
      </c>
      <c r="G459" t="str" cm="1">
        <f t="array" ref="G459">IFERROR(
  _xlfn.IFS(F459="Current City","No Direction",
    OR(F459&gt;=337.5,F459&lt;22.5),"N",
    F459&lt;67.5,"NE",
    F459&lt;112.5,"E",
    F459&lt;157.5,"SE",
    F459&lt;202.5,"S",
    F459&lt;247.5,"SW",
    F459&lt;292.5,"W",
    F459&lt;337.5,"NW"
  ), "No Direction"
)</f>
        <v>N</v>
      </c>
    </row>
    <row r="460" spans="1:7" x14ac:dyDescent="0.2">
      <c r="A460" t="s">
        <v>1329</v>
      </c>
      <c r="B460" t="s">
        <v>1330</v>
      </c>
      <c r="C460">
        <v>11.190514836795201</v>
      </c>
      <c r="D460">
        <v>79.222496439169106</v>
      </c>
      <c r="E460">
        <f t="shared" si="14"/>
        <v>1505.0128738745307</v>
      </c>
      <c r="F460" s="34">
        <f t="shared" si="15"/>
        <v>215.73039758615269</v>
      </c>
      <c r="G460" t="str" cm="1">
        <f t="array" ref="G460">IFERROR(
  _xlfn.IFS(F460="Current City","No Direction",
    OR(F460&gt;=337.5,F460&lt;22.5),"N",
    F460&lt;67.5,"NE",
    F460&lt;112.5,"E",
    F460&lt;157.5,"SE",
    F460&lt;202.5,"S",
    F460&lt;247.5,"SW",
    F460&lt;292.5,"W",
    F460&lt;337.5,"NW"
  ), "No Direction"
)</f>
        <v>SW</v>
      </c>
    </row>
    <row r="461" spans="1:7" x14ac:dyDescent="0.2">
      <c r="A461" t="s">
        <v>1329</v>
      </c>
      <c r="B461" t="s">
        <v>1333</v>
      </c>
      <c r="C461">
        <v>13.0580989056087</v>
      </c>
      <c r="D461">
        <v>80.281391518467998</v>
      </c>
      <c r="E461">
        <f t="shared" si="14"/>
        <v>1268.4482242640061</v>
      </c>
      <c r="F461" s="34">
        <f t="shared" si="15"/>
        <v>216.5797253513081</v>
      </c>
      <c r="G461" t="str" cm="1">
        <f t="array" ref="G461">IFERROR(
  _xlfn.IFS(F461="Current City","No Direction",
    OR(F461&gt;=337.5,F461&lt;22.5),"N",
    F461&lt;67.5,"NE",
    F461&lt;112.5,"E",
    F461&lt;157.5,"SE",
    F461&lt;202.5,"S",
    F461&lt;247.5,"SW",
    F461&lt;292.5,"W",
    F461&lt;337.5,"NW"
  ), "No Direction"
)</f>
        <v>SW</v>
      </c>
    </row>
    <row r="462" spans="1:7" x14ac:dyDescent="0.2">
      <c r="A462" t="s">
        <v>1329</v>
      </c>
      <c r="B462" t="s">
        <v>1336</v>
      </c>
      <c r="C462">
        <v>10.8713769959404</v>
      </c>
      <c r="D462">
        <v>77.076190121786198</v>
      </c>
      <c r="E462">
        <f t="shared" si="14"/>
        <v>1672.1422925038437</v>
      </c>
      <c r="F462" s="34">
        <f t="shared" si="15"/>
        <v>221.86132726830294</v>
      </c>
      <c r="G462" t="str" cm="1">
        <f t="array" ref="G462">IFERROR(
  _xlfn.IFS(F462="Current City","No Direction",
    OR(F462&gt;=337.5,F462&lt;22.5),"N",
    F462&lt;67.5,"NE",
    F462&lt;112.5,"E",
    F462&lt;157.5,"SE",
    F462&lt;202.5,"S",
    F462&lt;247.5,"SW",
    F462&lt;292.5,"W",
    F462&lt;337.5,"NW"
  ), "No Direction"
)</f>
        <v>SW</v>
      </c>
    </row>
    <row r="463" spans="1:7" x14ac:dyDescent="0.2">
      <c r="A463" t="s">
        <v>1329</v>
      </c>
      <c r="B463" t="s">
        <v>1339</v>
      </c>
      <c r="C463">
        <v>11.5758730061349</v>
      </c>
      <c r="D463">
        <v>79.6300236537149</v>
      </c>
      <c r="E463">
        <f t="shared" si="14"/>
        <v>1444.8363884706109</v>
      </c>
      <c r="F463" s="34">
        <f t="shared" si="15"/>
        <v>215.19236416916047</v>
      </c>
      <c r="G463" t="str" cm="1">
        <f t="array" ref="G463">IFERROR(
  _xlfn.IFS(F463="Current City","No Direction",
    OR(F463&gt;=337.5,F463&lt;22.5),"N",
    F463&lt;67.5,"NE",
    F463&lt;112.5,"E",
    F463&lt;157.5,"SE",
    F463&lt;202.5,"S",
    F463&lt;247.5,"SW",
    F463&lt;292.5,"W",
    F463&lt;337.5,"NW"
  ), "No Direction"
)</f>
        <v>SW</v>
      </c>
    </row>
    <row r="464" spans="1:7" x14ac:dyDescent="0.2">
      <c r="A464" t="s">
        <v>1329</v>
      </c>
      <c r="B464" t="s">
        <v>1342</v>
      </c>
      <c r="C464">
        <v>12.300141200000001</v>
      </c>
      <c r="D464">
        <v>78.115098133333305</v>
      </c>
      <c r="E464">
        <f t="shared" si="14"/>
        <v>1477.5165820777074</v>
      </c>
      <c r="F464" s="34">
        <f t="shared" si="15"/>
        <v>222.33730561458594</v>
      </c>
      <c r="G464" t="str" cm="1">
        <f t="array" ref="G464">IFERROR(
  _xlfn.IFS(F464="Current City","No Direction",
    OR(F464&gt;=337.5,F464&lt;22.5),"N",
    F464&lt;67.5,"NE",
    F464&lt;112.5,"E",
    F464&lt;157.5,"SE",
    F464&lt;202.5,"S",
    F464&lt;247.5,"SW",
    F464&lt;292.5,"W",
    F464&lt;337.5,"NW"
  ), "No Direction"
)</f>
        <v>SW</v>
      </c>
    </row>
    <row r="465" spans="1:7" x14ac:dyDescent="0.2">
      <c r="A465" t="s">
        <v>1329</v>
      </c>
      <c r="B465" t="s">
        <v>1345</v>
      </c>
      <c r="C465">
        <v>10.377801390820499</v>
      </c>
      <c r="D465">
        <v>77.7801127955493</v>
      </c>
      <c r="E465">
        <f t="shared" si="14"/>
        <v>1668.9837237162058</v>
      </c>
      <c r="F465" s="34">
        <f t="shared" si="15"/>
        <v>218.58416934325331</v>
      </c>
      <c r="G465" t="str" cm="1">
        <f t="array" ref="G465">IFERROR(
  _xlfn.IFS(F465="Current City","No Direction",
    OR(F465&gt;=337.5,F465&lt;22.5),"N",
    F465&lt;67.5,"NE",
    F465&lt;112.5,"E",
    F465&lt;157.5,"SE",
    F465&lt;202.5,"S",
    F465&lt;247.5,"SW",
    F465&lt;292.5,"W",
    F465&lt;337.5,"NW"
  ), "No Direction"
)</f>
        <v>SW</v>
      </c>
    </row>
    <row r="466" spans="1:7" x14ac:dyDescent="0.2">
      <c r="A466" t="s">
        <v>1329</v>
      </c>
      <c r="B466" t="s">
        <v>1348</v>
      </c>
      <c r="C466">
        <v>11.2670121559633</v>
      </c>
      <c r="D466">
        <v>77.420343348623902</v>
      </c>
      <c r="E466">
        <f t="shared" si="14"/>
        <v>1614.3203304660647</v>
      </c>
      <c r="F466" s="34">
        <f t="shared" si="15"/>
        <v>221.80635946988968</v>
      </c>
      <c r="G466" t="str" cm="1">
        <f t="array" ref="G466">IFERROR(
  _xlfn.IFS(F466="Current City","No Direction",
    OR(F466&gt;=337.5,F466&lt;22.5),"N",
    F466&lt;67.5,"NE",
    F466&lt;112.5,"E",
    F466&lt;157.5,"SE",
    F466&lt;202.5,"S",
    F466&lt;247.5,"SW",
    F466&lt;292.5,"W",
    F466&lt;337.5,"NW"
  ), "No Direction"
)</f>
        <v>SW</v>
      </c>
    </row>
    <row r="467" spans="1:7" x14ac:dyDescent="0.2">
      <c r="A467" t="s">
        <v>1329</v>
      </c>
      <c r="B467" t="s">
        <v>1351</v>
      </c>
      <c r="C467">
        <v>12.4964247565118</v>
      </c>
      <c r="D467">
        <v>80.088203601359098</v>
      </c>
      <c r="E467">
        <f t="shared" si="14"/>
        <v>1331.9261774785687</v>
      </c>
      <c r="F467" s="34">
        <f t="shared" si="15"/>
        <v>215.79807081275564</v>
      </c>
      <c r="G467" t="str" cm="1">
        <f t="array" ref="G467">IFERROR(
  _xlfn.IFS(F467="Current City","No Direction",
    OR(F467&gt;=337.5,F467&lt;22.5),"N",
    F467&lt;67.5,"NE",
    F467&lt;112.5,"E",
    F467&lt;157.5,"SE",
    F467&lt;202.5,"S",
    F467&lt;247.5,"SW",
    F467&lt;292.5,"W",
    F467&lt;337.5,"NW"
  ), "No Direction"
)</f>
        <v>SW</v>
      </c>
    </row>
    <row r="468" spans="1:7" x14ac:dyDescent="0.2">
      <c r="A468" t="s">
        <v>1329</v>
      </c>
      <c r="B468" t="s">
        <v>1354</v>
      </c>
      <c r="C468">
        <v>8.1834663001911991</v>
      </c>
      <c r="D468">
        <v>77.320530640535296</v>
      </c>
      <c r="E468">
        <f t="shared" si="14"/>
        <v>1898.9535299250663</v>
      </c>
      <c r="F468" s="34">
        <f t="shared" si="15"/>
        <v>215.45753915119499</v>
      </c>
      <c r="G468" t="str" cm="1">
        <f t="array" ref="G468">IFERROR(
  _xlfn.IFS(F468="Current City","No Direction",
    OR(F468&gt;=337.5,F468&lt;22.5),"N",
    F468&lt;67.5,"NE",
    F468&lt;112.5,"E",
    F468&lt;157.5,"SE",
    F468&lt;202.5,"S",
    F468&lt;247.5,"SW",
    F468&lt;292.5,"W",
    F468&lt;337.5,"NW"
  ), "No Direction"
)</f>
        <v>SW</v>
      </c>
    </row>
    <row r="469" spans="1:7" x14ac:dyDescent="0.2">
      <c r="A469" t="s">
        <v>1329</v>
      </c>
      <c r="B469" t="s">
        <v>1357</v>
      </c>
      <c r="C469">
        <v>10.795327766179501</v>
      </c>
      <c r="D469">
        <v>78.087496868475995</v>
      </c>
      <c r="E469">
        <f t="shared" si="14"/>
        <v>1611.6753330864472</v>
      </c>
      <c r="F469" s="34">
        <f t="shared" si="15"/>
        <v>218.5854929504024</v>
      </c>
      <c r="G469" t="str" cm="1">
        <f t="array" ref="G469">IFERROR(
  _xlfn.IFS(F469="Current City","No Direction",
    OR(F469&gt;=337.5,F469&lt;22.5),"N",
    F469&lt;67.5,"NE",
    F469&lt;112.5,"E",
    F469&lt;157.5,"SE",
    F469&lt;202.5,"S",
    F469&lt;247.5,"SW",
    F469&lt;292.5,"W",
    F469&lt;337.5,"NW"
  ), "No Direction"
)</f>
        <v>SW</v>
      </c>
    </row>
    <row r="470" spans="1:7" x14ac:dyDescent="0.2">
      <c r="A470" t="s">
        <v>1329</v>
      </c>
      <c r="B470" t="s">
        <v>1360</v>
      </c>
      <c r="C470">
        <v>9.9043138333333296</v>
      </c>
      <c r="D470">
        <v>78.013660333333306</v>
      </c>
      <c r="E470">
        <f t="shared" si="14"/>
        <v>1697.388892164734</v>
      </c>
      <c r="F470" s="34">
        <f t="shared" si="15"/>
        <v>216.82170583890044</v>
      </c>
      <c r="G470" t="str" cm="1">
        <f t="array" ref="G470">IFERROR(
  _xlfn.IFS(F470="Current City","No Direction",
    OR(F470&gt;=337.5,F470&lt;22.5),"N",
    F470&lt;67.5,"NE",
    F470&lt;112.5,"E",
    F470&lt;157.5,"SE",
    F470&lt;202.5,"S",
    F470&lt;247.5,"SW",
    F470&lt;292.5,"W",
    F470&lt;337.5,"NW"
  ), "No Direction"
)</f>
        <v>SW</v>
      </c>
    </row>
    <row r="471" spans="1:7" x14ac:dyDescent="0.2">
      <c r="A471" t="s">
        <v>1329</v>
      </c>
      <c r="B471" t="s">
        <v>1363</v>
      </c>
      <c r="C471">
        <v>10.789468161718199</v>
      </c>
      <c r="D471">
        <v>79.794372994314799</v>
      </c>
      <c r="E471">
        <f t="shared" si="14"/>
        <v>1509.7110466634506</v>
      </c>
      <c r="F471" s="34">
        <f t="shared" si="15"/>
        <v>212.79220792968934</v>
      </c>
      <c r="G471" t="str" cm="1">
        <f t="array" ref="G471">IFERROR(
  _xlfn.IFS(F471="Current City","No Direction",
    OR(F471&gt;=337.5,F471&lt;22.5),"N",
    F471&lt;67.5,"NE",
    F471&lt;112.5,"E",
    F471&lt;157.5,"SE",
    F471&lt;202.5,"S",
    F471&lt;247.5,"SW",
    F471&lt;292.5,"W",
    F471&lt;337.5,"NW"
  ), "No Direction"
)</f>
        <v>SW</v>
      </c>
    </row>
    <row r="472" spans="1:7" x14ac:dyDescent="0.2">
      <c r="A472" t="s">
        <v>1329</v>
      </c>
      <c r="B472" t="s">
        <v>1366</v>
      </c>
      <c r="C472">
        <v>11.337666384778</v>
      </c>
      <c r="D472">
        <v>78.146248414376302</v>
      </c>
      <c r="E472">
        <f t="shared" si="14"/>
        <v>1559.3866480688896</v>
      </c>
      <c r="F472" s="34">
        <f t="shared" si="15"/>
        <v>219.70732566838188</v>
      </c>
      <c r="G472" t="str" cm="1">
        <f t="array" ref="G472">IFERROR(
  _xlfn.IFS(F472="Current City","No Direction",
    OR(F472&gt;=337.5,F472&lt;22.5),"N",
    F472&lt;67.5,"NE",
    F472&lt;112.5,"E",
    F472&lt;157.5,"SE",
    F472&lt;202.5,"S",
    F472&lt;247.5,"SW",
    F472&lt;292.5,"W",
    F472&lt;337.5,"NW"
  ), "No Direction"
)</f>
        <v>SW</v>
      </c>
    </row>
    <row r="473" spans="1:7" x14ac:dyDescent="0.2">
      <c r="A473" t="s">
        <v>1329</v>
      </c>
      <c r="B473" t="s">
        <v>1369</v>
      </c>
      <c r="C473">
        <v>11.442361661341801</v>
      </c>
      <c r="D473">
        <v>76.661464217252401</v>
      </c>
      <c r="E473">
        <f t="shared" si="14"/>
        <v>1652.8047549260825</v>
      </c>
      <c r="F473" s="34">
        <f t="shared" si="15"/>
        <v>224.49428812624245</v>
      </c>
      <c r="G473" t="str" cm="1">
        <f t="array" ref="G473">IFERROR(
  _xlfn.IFS(F473="Current City","No Direction",
    OR(F473&gt;=337.5,F473&lt;22.5),"N",
    F473&lt;67.5,"NE",
    F473&lt;112.5,"E",
    F473&lt;157.5,"SE",
    F473&lt;202.5,"S",
    F473&lt;247.5,"SW",
    F473&lt;292.5,"W",
    F473&lt;337.5,"NW"
  ), "No Direction"
)</f>
        <v>SW</v>
      </c>
    </row>
    <row r="474" spans="1:7" x14ac:dyDescent="0.2">
      <c r="A474" t="s">
        <v>1329</v>
      </c>
      <c r="B474" t="s">
        <v>1371</v>
      </c>
      <c r="C474">
        <v>11.260137758112</v>
      </c>
      <c r="D474">
        <v>78.860340117994099</v>
      </c>
      <c r="E474">
        <f t="shared" si="14"/>
        <v>1520.7213900129252</v>
      </c>
      <c r="F474" s="34">
        <f t="shared" si="15"/>
        <v>217.1472489244544</v>
      </c>
      <c r="G474" t="str" cm="1">
        <f t="array" ref="G474">IFERROR(
  _xlfn.IFS(F474="Current City","No Direction",
    OR(F474&gt;=337.5,F474&lt;22.5),"N",
    F474&lt;67.5,"NE",
    F474&lt;112.5,"E",
    F474&lt;157.5,"SE",
    F474&lt;202.5,"S",
    F474&lt;247.5,"SW",
    F474&lt;292.5,"W",
    F474&lt;337.5,"NW"
  ), "No Direction"
)</f>
        <v>SW</v>
      </c>
    </row>
    <row r="475" spans="1:7" x14ac:dyDescent="0.2">
      <c r="A475" t="s">
        <v>1329</v>
      </c>
      <c r="B475" t="s">
        <v>1374</v>
      </c>
      <c r="C475">
        <v>10.1305148164335</v>
      </c>
      <c r="D475">
        <v>79.054444842657205</v>
      </c>
      <c r="E475">
        <f t="shared" si="14"/>
        <v>1614.27777078485</v>
      </c>
      <c r="F475" s="34">
        <f t="shared" si="15"/>
        <v>213.95322893969362</v>
      </c>
      <c r="G475" t="str" cm="1">
        <f t="array" ref="G475">IFERROR(
  _xlfn.IFS(F475="Current City","No Direction",
    OR(F475&gt;=337.5,F475&lt;22.5),"N",
    F475&lt;67.5,"NE",
    F475&lt;112.5,"E",
    F475&lt;157.5,"SE",
    F475&lt;202.5,"S",
    F475&lt;247.5,"SW",
    F475&lt;292.5,"W",
    F475&lt;337.5,"NW"
  ), "No Direction"
)</f>
        <v>SW</v>
      </c>
    </row>
    <row r="476" spans="1:7" x14ac:dyDescent="0.2">
      <c r="A476" t="s">
        <v>1329</v>
      </c>
      <c r="B476" t="s">
        <v>1377</v>
      </c>
      <c r="C476">
        <v>9.3128699515347595</v>
      </c>
      <c r="D476">
        <v>78.991853624124602</v>
      </c>
      <c r="E476">
        <f t="shared" si="14"/>
        <v>1695.78286428411</v>
      </c>
      <c r="F476" s="34">
        <f t="shared" si="15"/>
        <v>212.52197499101672</v>
      </c>
      <c r="G476" t="str" cm="1">
        <f t="array" ref="G476">IFERROR(
  _xlfn.IFS(F476="Current City","No Direction",
    OR(F476&gt;=337.5,F476&lt;22.5),"N",
    F476&lt;67.5,"NE",
    F476&lt;112.5,"E",
    F476&lt;157.5,"SE",
    F476&lt;202.5,"S",
    F476&lt;247.5,"SW",
    F476&lt;292.5,"W",
    F476&lt;337.5,"NW"
  ), "No Direction"
)</f>
        <v>SW</v>
      </c>
    </row>
    <row r="477" spans="1:7" x14ac:dyDescent="0.2">
      <c r="A477" t="s">
        <v>1329</v>
      </c>
      <c r="B477" t="s">
        <v>1380</v>
      </c>
      <c r="C477">
        <v>11.6293242021276</v>
      </c>
      <c r="D477">
        <v>78.247825797872295</v>
      </c>
      <c r="E477">
        <f t="shared" si="14"/>
        <v>1526.8742578483577</v>
      </c>
      <c r="F477" s="34">
        <f t="shared" si="15"/>
        <v>220.11330764115348</v>
      </c>
      <c r="G477" t="str" cm="1">
        <f t="array" ref="G477">IFERROR(
  _xlfn.IFS(F477="Current City","No Direction",
    OR(F477&gt;=337.5,F477&lt;22.5),"N",
    F477&lt;67.5,"NE",
    F477&lt;112.5,"E",
    F477&lt;157.5,"SE",
    F477&lt;202.5,"S",
    F477&lt;247.5,"SW",
    F477&lt;292.5,"W",
    F477&lt;337.5,"NW"
  ), "No Direction"
)</f>
        <v>SW</v>
      </c>
    </row>
    <row r="478" spans="1:7" x14ac:dyDescent="0.2">
      <c r="A478" t="s">
        <v>1329</v>
      </c>
      <c r="B478" t="s">
        <v>1382</v>
      </c>
      <c r="C478">
        <v>9.9603065806451507</v>
      </c>
      <c r="D478">
        <v>78.565357290322495</v>
      </c>
      <c r="E478">
        <f t="shared" si="14"/>
        <v>1658.8372836526728</v>
      </c>
      <c r="F478" s="34">
        <f t="shared" si="15"/>
        <v>215.20000114773833</v>
      </c>
      <c r="G478" t="str" cm="1">
        <f t="array" ref="G478">IFERROR(
  _xlfn.IFS(F478="Current City","No Direction",
    OR(F478&gt;=337.5,F478&lt;22.5),"N",
    F478&lt;67.5,"NE",
    F478&lt;112.5,"E",
    F478&lt;157.5,"SE",
    F478&lt;202.5,"S",
    F478&lt;247.5,"SW",
    F478&lt;292.5,"W",
    F478&lt;337.5,"NW"
  ), "No Direction"
)</f>
        <v>SW</v>
      </c>
    </row>
    <row r="479" spans="1:7" x14ac:dyDescent="0.2">
      <c r="A479" t="s">
        <v>1329</v>
      </c>
      <c r="B479" t="s">
        <v>1385</v>
      </c>
      <c r="C479">
        <v>10.387692255892199</v>
      </c>
      <c r="D479">
        <v>79.319486910774501</v>
      </c>
      <c r="E479">
        <f t="shared" si="14"/>
        <v>1574.7421007391699</v>
      </c>
      <c r="F479" s="34">
        <f t="shared" si="15"/>
        <v>213.59795257407652</v>
      </c>
      <c r="G479" t="str" cm="1">
        <f t="array" ref="G479">IFERROR(
  _xlfn.IFS(F479="Current City","No Direction",
    OR(F479&gt;=337.5,F479&lt;22.5),"N",
    F479&lt;67.5,"NE",
    F479&lt;112.5,"E",
    F479&lt;157.5,"SE",
    F479&lt;202.5,"S",
    F479&lt;247.5,"SW",
    F479&lt;292.5,"W",
    F479&lt;337.5,"NW"
  ), "No Direction"
)</f>
        <v>SW</v>
      </c>
    </row>
    <row r="480" spans="1:7" x14ac:dyDescent="0.2">
      <c r="A480" t="s">
        <v>1329</v>
      </c>
      <c r="B480" t="s">
        <v>1387</v>
      </c>
      <c r="C480">
        <v>9.9240666666666595</v>
      </c>
      <c r="D480">
        <v>77.434588333333295</v>
      </c>
      <c r="E480">
        <f t="shared" si="14"/>
        <v>1732.0285795406019</v>
      </c>
      <c r="F480" s="34">
        <f t="shared" si="15"/>
        <v>218.62045759793961</v>
      </c>
      <c r="G480" t="str" cm="1">
        <f t="array" ref="G480">IFERROR(
  _xlfn.IFS(F480="Current City","No Direction",
    OR(F480&gt;=337.5,F480&lt;22.5),"N",
    F480&lt;67.5,"NE",
    F480&lt;112.5,"E",
    F480&lt;157.5,"SE",
    F480&lt;202.5,"S",
    F480&lt;247.5,"SW",
    F480&lt;292.5,"W",
    F480&lt;337.5,"NW"
  ), "No Direction"
)</f>
        <v>SW</v>
      </c>
    </row>
    <row r="481" spans="1:7" x14ac:dyDescent="0.2">
      <c r="A481" t="s">
        <v>1329</v>
      </c>
      <c r="B481" t="s">
        <v>1390</v>
      </c>
      <c r="C481">
        <v>13.275858101752799</v>
      </c>
      <c r="D481">
        <v>80.197247028644895</v>
      </c>
      <c r="E481">
        <f t="shared" si="14"/>
        <v>1253.8107445989208</v>
      </c>
      <c r="F481" s="34">
        <f t="shared" si="15"/>
        <v>217.55526311730375</v>
      </c>
      <c r="G481" t="str" cm="1">
        <f t="array" ref="G481">IFERROR(
  _xlfn.IFS(F481="Current City","No Direction",
    OR(F481&gt;=337.5,F481&lt;22.5),"N",
    F481&lt;67.5,"NE",
    F481&lt;112.5,"E",
    F481&lt;157.5,"SE",
    F481&lt;202.5,"S",
    F481&lt;247.5,"SW",
    F481&lt;292.5,"W",
    F481&lt;337.5,"NW"
  ), "No Direction"
)</f>
        <v>SW</v>
      </c>
    </row>
    <row r="482" spans="1:7" x14ac:dyDescent="0.2">
      <c r="A482" t="s">
        <v>1329</v>
      </c>
      <c r="B482" t="s">
        <v>1393</v>
      </c>
      <c r="C482">
        <v>10.3689274093959</v>
      </c>
      <c r="D482">
        <v>79.603228939597201</v>
      </c>
      <c r="E482">
        <f t="shared" si="14"/>
        <v>1560.6031450139972</v>
      </c>
      <c r="F482" s="34">
        <f t="shared" si="15"/>
        <v>212.57505701843792</v>
      </c>
      <c r="G482" t="str" cm="1">
        <f t="array" ref="G482">IFERROR(
  _xlfn.IFS(F482="Current City","No Direction",
    OR(F482&gt;=337.5,F482&lt;22.5),"N",
    F482&lt;67.5,"NE",
    F482&lt;112.5,"E",
    F482&lt;157.5,"SE",
    F482&lt;202.5,"S",
    F482&lt;247.5,"SW",
    F482&lt;292.5,"W",
    F482&lt;337.5,"NW"
  ), "No Direction"
)</f>
        <v>SW</v>
      </c>
    </row>
    <row r="483" spans="1:7" x14ac:dyDescent="0.2">
      <c r="A483" t="s">
        <v>1329</v>
      </c>
      <c r="B483" t="s">
        <v>1396</v>
      </c>
      <c r="C483">
        <v>8.7209611697027807</v>
      </c>
      <c r="D483">
        <v>78.138326909555502</v>
      </c>
      <c r="E483">
        <f t="shared" si="14"/>
        <v>1800.4302289685158</v>
      </c>
      <c r="F483" s="34">
        <f t="shared" si="15"/>
        <v>214.06776059282529</v>
      </c>
      <c r="G483" t="str" cm="1">
        <f t="array" ref="G483">IFERROR(
  _xlfn.IFS(F483="Current City","No Direction",
    OR(F483&gt;=337.5,F483&lt;22.5),"N",
    F483&lt;67.5,"NE",
    F483&lt;112.5,"E",
    F483&lt;157.5,"SE",
    F483&lt;202.5,"S",
    F483&lt;247.5,"SW",
    F483&lt;292.5,"W",
    F483&lt;337.5,"NW"
  ), "No Direction"
)</f>
        <v>SW</v>
      </c>
    </row>
    <row r="484" spans="1:7" x14ac:dyDescent="0.2">
      <c r="A484" t="s">
        <v>1329</v>
      </c>
      <c r="B484" t="s">
        <v>1399</v>
      </c>
      <c r="C484">
        <v>10.8378413232104</v>
      </c>
      <c r="D484">
        <v>78.547290021691893</v>
      </c>
      <c r="E484">
        <f t="shared" si="14"/>
        <v>1578.7761398609953</v>
      </c>
      <c r="F484" s="34">
        <f t="shared" si="15"/>
        <v>217.19766857591398</v>
      </c>
      <c r="G484" t="str" cm="1">
        <f t="array" ref="G484">IFERROR(
  _xlfn.IFS(F484="Current City","No Direction",
    OR(F484&gt;=337.5,F484&lt;22.5),"N",
    F484&lt;67.5,"NE",
    F484&lt;112.5,"E",
    F484&lt;157.5,"SE",
    F484&lt;202.5,"S",
    F484&lt;247.5,"SW",
    F484&lt;292.5,"W",
    F484&lt;337.5,"NW"
  ), "No Direction"
)</f>
        <v>SW</v>
      </c>
    </row>
    <row r="485" spans="1:7" x14ac:dyDescent="0.2">
      <c r="A485" t="s">
        <v>1329</v>
      </c>
      <c r="B485" t="s">
        <v>1402</v>
      </c>
      <c r="C485">
        <v>8.4574307038261605</v>
      </c>
      <c r="D485">
        <v>77.705496362777595</v>
      </c>
      <c r="E485">
        <f t="shared" si="14"/>
        <v>1850.4814688583081</v>
      </c>
      <c r="F485" s="34">
        <f t="shared" si="15"/>
        <v>214.85904367952631</v>
      </c>
      <c r="G485" t="str" cm="1">
        <f t="array" ref="G485">IFERROR(
  _xlfn.IFS(F485="Current City","No Direction",
    OR(F485&gt;=337.5,F485&lt;22.5),"N",
    F485&lt;67.5,"NE",
    F485&lt;112.5,"E",
    F485&lt;157.5,"SE",
    F485&lt;202.5,"S",
    F485&lt;247.5,"SW",
    F485&lt;292.5,"W",
    F485&lt;337.5,"NW"
  ), "No Direction"
)</f>
        <v>SW</v>
      </c>
    </row>
    <row r="486" spans="1:7" x14ac:dyDescent="0.2">
      <c r="A486" t="s">
        <v>1329</v>
      </c>
      <c r="B486" t="s">
        <v>1404</v>
      </c>
      <c r="C486">
        <v>12.419318947368399</v>
      </c>
      <c r="D486">
        <v>79.232656315789498</v>
      </c>
      <c r="E486">
        <f t="shared" si="14"/>
        <v>1392.2879842203267</v>
      </c>
      <c r="F486" s="34">
        <f t="shared" si="15"/>
        <v>218.81392150502026</v>
      </c>
      <c r="G486" t="str" cm="1">
        <f t="array" ref="G486">IFERROR(
  _xlfn.IFS(F486="Current City","No Direction",
    OR(F486&gt;=337.5,F486&lt;22.5),"N",
    F486&lt;67.5,"NE",
    F486&lt;112.5,"E",
    F486&lt;157.5,"SE",
    F486&lt;202.5,"S",
    F486&lt;247.5,"SW",
    F486&lt;292.5,"W",
    F486&lt;337.5,"NW"
  ), "No Direction"
)</f>
        <v>SW</v>
      </c>
    </row>
    <row r="487" spans="1:7" x14ac:dyDescent="0.2">
      <c r="A487" t="s">
        <v>1329</v>
      </c>
      <c r="B487" t="s">
        <v>1407</v>
      </c>
      <c r="C487">
        <v>12.784882632293</v>
      </c>
      <c r="D487">
        <v>79.026432835820799</v>
      </c>
      <c r="E487">
        <f t="shared" si="14"/>
        <v>1373.4776281511597</v>
      </c>
      <c r="F487" s="34">
        <f t="shared" si="15"/>
        <v>220.5853783917523</v>
      </c>
      <c r="G487" t="str" cm="1">
        <f t="array" ref="G487">IFERROR(
  _xlfn.IFS(F487="Current City","No Direction",
    OR(F487&gt;=337.5,F487&lt;22.5),"N",
    F487&lt;67.5,"NE",
    F487&lt;112.5,"E",
    F487&lt;157.5,"SE",
    F487&lt;202.5,"S",
    F487&lt;247.5,"SW",
    F487&lt;292.5,"W",
    F487&lt;337.5,"NW"
  ), "No Direction"
)</f>
        <v>SW</v>
      </c>
    </row>
    <row r="488" spans="1:7" x14ac:dyDescent="0.2">
      <c r="A488" t="s">
        <v>1329</v>
      </c>
      <c r="B488" t="s">
        <v>1410</v>
      </c>
      <c r="C488">
        <v>12.065571352676701</v>
      </c>
      <c r="D488">
        <v>79.689891009399204</v>
      </c>
      <c r="E488">
        <f t="shared" si="14"/>
        <v>1395.8123399598405</v>
      </c>
      <c r="F488" s="34">
        <f t="shared" si="15"/>
        <v>216.19228854611853</v>
      </c>
      <c r="G488" t="str" cm="1">
        <f t="array" ref="G488">IFERROR(
  _xlfn.IFS(F488="Current City","No Direction",
    OR(F488&gt;=337.5,F488&lt;22.5),"N",
    F488&lt;67.5,"NE",
    F488&lt;112.5,"E",
    F488&lt;157.5,"SE",
    F488&lt;202.5,"S",
    F488&lt;247.5,"SW",
    F488&lt;292.5,"W",
    F488&lt;337.5,"NW"
  ), "No Direction"
)</f>
        <v>SW</v>
      </c>
    </row>
    <row r="489" spans="1:7" x14ac:dyDescent="0.2">
      <c r="A489" t="s">
        <v>1329</v>
      </c>
      <c r="B489" t="s">
        <v>1412</v>
      </c>
      <c r="C489">
        <v>9.4688721958925601</v>
      </c>
      <c r="D489">
        <v>77.876414691943097</v>
      </c>
      <c r="E489">
        <f t="shared" si="14"/>
        <v>1745.9445903088147</v>
      </c>
      <c r="F489" s="34">
        <f t="shared" si="15"/>
        <v>216.32995588903657</v>
      </c>
      <c r="G489" t="str" cm="1">
        <f t="array" ref="G489">IFERROR(
  _xlfn.IFS(F489="Current City","No Direction",
    OR(F489&gt;=337.5,F489&lt;22.5),"N",
    F489&lt;67.5,"NE",
    F489&lt;112.5,"E",
    F489&lt;157.5,"SE",
    F489&lt;202.5,"S",
    F489&lt;247.5,"SW",
    F489&lt;292.5,"W",
    F489&lt;337.5,"NW"
  ), "No Direction"
)</f>
        <v>SW</v>
      </c>
    </row>
    <row r="490" spans="1:7" x14ac:dyDescent="0.2">
      <c r="A490" t="s">
        <v>1415</v>
      </c>
      <c r="B490" t="s">
        <v>1416</v>
      </c>
      <c r="C490">
        <v>23.781360477941099</v>
      </c>
      <c r="D490">
        <v>91.946542830882294</v>
      </c>
      <c r="E490">
        <f t="shared" si="14"/>
        <v>507.78489459711182</v>
      </c>
      <c r="F490" s="34">
        <f t="shared" si="15"/>
        <v>70.88514022310062</v>
      </c>
      <c r="G490" t="str" cm="1">
        <f t="array" ref="G490">IFERROR(
  _xlfn.IFS(F490="Current City","No Direction",
    OR(F490&gt;=337.5,F490&lt;22.5),"N",
    F490&lt;67.5,"NE",
    F490&lt;112.5,"E",
    F490&lt;157.5,"SE",
    F490&lt;202.5,"S",
    F490&lt;247.5,"SW",
    F490&lt;292.5,"W",
    F490&lt;337.5,"NW"
  ), "No Direction"
)</f>
        <v>E</v>
      </c>
    </row>
    <row r="491" spans="1:7" x14ac:dyDescent="0.2">
      <c r="A491" t="s">
        <v>1415</v>
      </c>
      <c r="B491" t="s">
        <v>1419</v>
      </c>
      <c r="C491">
        <v>24.121739755351602</v>
      </c>
      <c r="D491">
        <v>92.178425382262901</v>
      </c>
      <c r="E491">
        <f t="shared" si="14"/>
        <v>542.28057758047169</v>
      </c>
      <c r="F491" s="34">
        <f t="shared" si="15"/>
        <v>67.797243867909913</v>
      </c>
      <c r="G491" t="str" cm="1">
        <f t="array" ref="G491">IFERROR(
  _xlfn.IFS(F491="Current City","No Direction",
    OR(F491&gt;=337.5,F491&lt;22.5),"N",
    F491&lt;67.5,"NE",
    F491&lt;112.5,"E",
    F491&lt;157.5,"SE",
    F491&lt;202.5,"S",
    F491&lt;247.5,"SW",
    F491&lt;292.5,"W",
    F491&lt;337.5,"NW"
  ), "No Direction"
)</f>
        <v>E</v>
      </c>
    </row>
    <row r="492" spans="1:7" x14ac:dyDescent="0.2">
      <c r="A492" t="s">
        <v>1415</v>
      </c>
      <c r="B492" t="s">
        <v>1422</v>
      </c>
      <c r="C492">
        <v>23.211874098057301</v>
      </c>
      <c r="D492">
        <v>91.606580758556802</v>
      </c>
      <c r="E492">
        <f t="shared" si="14"/>
        <v>458.56611956401912</v>
      </c>
      <c r="F492" s="34">
        <f t="shared" si="15"/>
        <v>77.165124612777447</v>
      </c>
      <c r="G492" t="str" cm="1">
        <f t="array" ref="G492">IFERROR(
  _xlfn.IFS(F492="Current City","No Direction",
    OR(F492&gt;=337.5,F492&lt;22.5),"N",
    F492&lt;67.5,"NE",
    F492&lt;112.5,"E",
    F492&lt;157.5,"SE",
    F492&lt;202.5,"S",
    F492&lt;247.5,"SW",
    F492&lt;292.5,"W",
    F492&lt;337.5,"NW"
  ), "No Direction"
)</f>
        <v>E</v>
      </c>
    </row>
    <row r="493" spans="1:7" x14ac:dyDescent="0.2">
      <c r="A493" t="s">
        <v>1415</v>
      </c>
      <c r="B493" t="s">
        <v>1424</v>
      </c>
      <c r="C493">
        <v>23.780166241299298</v>
      </c>
      <c r="D493">
        <v>91.413107888631004</v>
      </c>
      <c r="E493">
        <f t="shared" si="14"/>
        <v>456.22542834725505</v>
      </c>
      <c r="F493" s="34">
        <f t="shared" si="15"/>
        <v>68.863440026990418</v>
      </c>
      <c r="G493" t="str" cm="1">
        <f t="array" ref="G493">IFERROR(
  _xlfn.IFS(F493="Current City","No Direction",
    OR(F493&gt;=337.5,F493&lt;22.5),"N",
    F493&lt;67.5,"NE",
    F493&lt;112.5,"E",
    F493&lt;157.5,"SE",
    F493&lt;202.5,"S",
    F493&lt;247.5,"SW",
    F493&lt;292.5,"W",
    F493&lt;337.5,"NW"
  ), "No Direction"
)</f>
        <v>E</v>
      </c>
    </row>
    <row r="494" spans="1:7" x14ac:dyDescent="0.2">
      <c r="A494" t="s">
        <v>1427</v>
      </c>
      <c r="B494" t="s">
        <v>1428</v>
      </c>
      <c r="C494">
        <v>26.995129749103899</v>
      </c>
      <c r="D494">
        <v>78.052782915173196</v>
      </c>
      <c r="E494">
        <f t="shared" si="14"/>
        <v>1060.7441232918493</v>
      </c>
      <c r="F494" s="34">
        <f t="shared" si="15"/>
        <v>300.95235188243919</v>
      </c>
      <c r="G494" t="str" cm="1">
        <f t="array" ref="G494">IFERROR(
  _xlfn.IFS(F494="Current City","No Direction",
    OR(F494&gt;=337.5,F494&lt;22.5),"N",
    F494&lt;67.5,"NE",
    F494&lt;112.5,"E",
    F494&lt;157.5,"SE",
    F494&lt;202.5,"S",
    F494&lt;247.5,"SW",
    F494&lt;292.5,"W",
    F494&lt;337.5,"NW"
  ), "No Direction"
)</f>
        <v>NW</v>
      </c>
    </row>
    <row r="495" spans="1:7" x14ac:dyDescent="0.2">
      <c r="A495" t="s">
        <v>1427</v>
      </c>
      <c r="B495" t="s">
        <v>1431</v>
      </c>
      <c r="C495">
        <v>27.937485768500899</v>
      </c>
      <c r="D495">
        <v>78.001468311195495</v>
      </c>
      <c r="E495">
        <f t="shared" si="14"/>
        <v>1116.6614933963576</v>
      </c>
      <c r="F495" s="34">
        <f t="shared" si="15"/>
        <v>305.64934073849821</v>
      </c>
      <c r="G495" t="str" cm="1">
        <f t="array" ref="G495">IFERROR(
  _xlfn.IFS(F495="Current City","No Direction",
    OR(F495&gt;=337.5,F495&lt;22.5),"N",
    F495&lt;67.5,"NE",
    F495&lt;112.5,"E",
    F495&lt;157.5,"SE",
    F495&lt;202.5,"S",
    F495&lt;247.5,"SW",
    F495&lt;292.5,"W",
    F495&lt;337.5,"NW"
  ), "No Direction"
)</f>
        <v>NW</v>
      </c>
    </row>
    <row r="496" spans="1:7" x14ac:dyDescent="0.2">
      <c r="A496" t="s">
        <v>1427</v>
      </c>
      <c r="B496" t="s">
        <v>1434</v>
      </c>
      <c r="C496">
        <v>25.392038662316399</v>
      </c>
      <c r="D496">
        <v>82.051724469820599</v>
      </c>
      <c r="E496">
        <f t="shared" si="14"/>
        <v>625.51048305327402</v>
      </c>
      <c r="F496" s="34">
        <f t="shared" si="15"/>
        <v>303.6989748334114</v>
      </c>
      <c r="G496" t="str" cm="1">
        <f t="array" ref="G496">IFERROR(
  _xlfn.IFS(F496="Current City","No Direction",
    OR(F496&gt;=337.5,F496&lt;22.5),"N",
    F496&lt;67.5,"NE",
    F496&lt;112.5,"E",
    F496&lt;157.5,"SE",
    F496&lt;202.5,"S",
    F496&lt;247.5,"SW",
    F496&lt;292.5,"W",
    F496&lt;337.5,"NW"
  ), "No Direction"
)</f>
        <v>NW</v>
      </c>
    </row>
    <row r="497" spans="1:7" x14ac:dyDescent="0.2">
      <c r="A497" t="s">
        <v>1427</v>
      </c>
      <c r="B497" t="s">
        <v>1437</v>
      </c>
      <c r="C497">
        <v>26.391190259740199</v>
      </c>
      <c r="D497">
        <v>82.682821428571401</v>
      </c>
      <c r="E497">
        <f t="shared" si="14"/>
        <v>643.02834665552336</v>
      </c>
      <c r="F497" s="34">
        <f t="shared" si="15"/>
        <v>315.17210234869691</v>
      </c>
      <c r="G497" t="str" cm="1">
        <f t="array" ref="G497">IFERROR(
  _xlfn.IFS(F497="Current City","No Direction",
    OR(F497&gt;=337.5,F497&lt;22.5),"N",
    F497&lt;67.5,"NE",
    F497&lt;112.5,"E",
    F497&lt;157.5,"SE",
    F497&lt;202.5,"S",
    F497&lt;247.5,"SW",
    F497&lt;292.5,"W",
    F497&lt;337.5,"NW"
  ), "No Direction"
)</f>
        <v>NW</v>
      </c>
    </row>
    <row r="498" spans="1:7" x14ac:dyDescent="0.2">
      <c r="A498" t="s">
        <v>1427</v>
      </c>
      <c r="B498" t="s">
        <v>1440</v>
      </c>
      <c r="C498">
        <v>26.6689239401496</v>
      </c>
      <c r="D498">
        <v>79.426370573566004</v>
      </c>
      <c r="E498">
        <f t="shared" si="14"/>
        <v>923.56368023622213</v>
      </c>
      <c r="F498" s="34">
        <f t="shared" si="15"/>
        <v>302.85566899809146</v>
      </c>
      <c r="G498" t="str" cm="1">
        <f t="array" ref="G498">IFERROR(
  _xlfn.IFS(F498="Current City","No Direction",
    OR(F498&gt;=337.5,F498&lt;22.5),"N",
    F498&lt;67.5,"NE",
    F498&lt;112.5,"E",
    F498&lt;157.5,"SE",
    F498&lt;202.5,"S",
    F498&lt;247.5,"SW",
    F498&lt;292.5,"W",
    F498&lt;337.5,"NW"
  ), "No Direction"
)</f>
        <v>NW</v>
      </c>
    </row>
    <row r="499" spans="1:7" x14ac:dyDescent="0.2">
      <c r="A499" t="s">
        <v>1427</v>
      </c>
      <c r="B499" t="s">
        <v>1443</v>
      </c>
      <c r="C499">
        <v>26.008290954773798</v>
      </c>
      <c r="D499">
        <v>83.012202512562794</v>
      </c>
      <c r="E499">
        <f t="shared" si="14"/>
        <v>589.96189734698612</v>
      </c>
      <c r="F499" s="34">
        <f t="shared" si="15"/>
        <v>314.35639499459154</v>
      </c>
      <c r="G499" t="str" cm="1">
        <f t="array" ref="G499">IFERROR(
  _xlfn.IFS(F499="Current City","No Direction",
    OR(F499&gt;=337.5,F499&lt;22.5),"N",
    F499&lt;67.5,"NE",
    F499&lt;112.5,"E",
    F499&lt;157.5,"SE",
    F499&lt;202.5,"S",
    F499&lt;247.5,"SW",
    F499&lt;292.5,"W",
    F499&lt;337.5,"NW"
  ), "No Direction"
)</f>
        <v>NW</v>
      </c>
    </row>
    <row r="500" spans="1:7" x14ac:dyDescent="0.2">
      <c r="A500" t="s">
        <v>1427</v>
      </c>
      <c r="B500" t="s">
        <v>1446</v>
      </c>
      <c r="C500">
        <v>28.085956727272698</v>
      </c>
      <c r="D500">
        <v>78.997107999999997</v>
      </c>
      <c r="E500">
        <f t="shared" si="14"/>
        <v>1044.5124038097667</v>
      </c>
      <c r="F500" s="34">
        <f t="shared" si="15"/>
        <v>309.27334429769485</v>
      </c>
      <c r="G500" t="str" cm="1">
        <f t="array" ref="G500">IFERROR(
  _xlfn.IFS(F500="Current City","No Direction",
    OR(F500&gt;=337.5,F500&lt;22.5),"N",
    F500&lt;67.5,"NE",
    F500&lt;112.5,"E",
    F500&lt;157.5,"SE",
    F500&lt;202.5,"S",
    F500&lt;247.5,"SW",
    F500&lt;292.5,"W",
    F500&lt;337.5,"NW"
  ), "No Direction"
)</f>
        <v>NW</v>
      </c>
    </row>
    <row r="501" spans="1:7" x14ac:dyDescent="0.2">
      <c r="A501" t="s">
        <v>1427</v>
      </c>
      <c r="B501" t="s">
        <v>1449</v>
      </c>
      <c r="C501">
        <v>29.045793499999899</v>
      </c>
      <c r="D501">
        <v>77.302662999999995</v>
      </c>
      <c r="E501">
        <f t="shared" si="14"/>
        <v>1241.257200844964</v>
      </c>
      <c r="F501" s="34">
        <f t="shared" si="15"/>
        <v>308.86938987725449</v>
      </c>
      <c r="G501" t="str" cm="1">
        <f t="array" ref="G501">IFERROR(
  _xlfn.IFS(F501="Current City","No Direction",
    OR(F501&gt;=337.5,F501&lt;22.5),"N",
    F501&lt;67.5,"NE",
    F501&lt;112.5,"E",
    F501&lt;157.5,"SE",
    F501&lt;202.5,"S",
    F501&lt;247.5,"SW",
    F501&lt;292.5,"W",
    F501&lt;337.5,"NW"
  ), "No Direction"
)</f>
        <v>NW</v>
      </c>
    </row>
    <row r="502" spans="1:7" x14ac:dyDescent="0.2">
      <c r="A502" t="s">
        <v>1427</v>
      </c>
      <c r="B502" t="s">
        <v>1452</v>
      </c>
      <c r="C502">
        <v>27.691776300577999</v>
      </c>
      <c r="D502">
        <v>81.467797832369996</v>
      </c>
      <c r="E502">
        <f t="shared" si="14"/>
        <v>830.00507402904418</v>
      </c>
      <c r="F502" s="34">
        <f t="shared" si="15"/>
        <v>316.8084788279636</v>
      </c>
      <c r="G502" t="str" cm="1">
        <f t="array" ref="G502">IFERROR(
  _xlfn.IFS(F502="Current City","No Direction",
    OR(F502&gt;=337.5,F502&lt;22.5),"N",
    F502&lt;67.5,"NE",
    F502&lt;112.5,"E",
    F502&lt;157.5,"SE",
    F502&lt;202.5,"S",
    F502&lt;247.5,"SW",
    F502&lt;292.5,"W",
    F502&lt;337.5,"NW"
  ), "No Direction"
)</f>
        <v>NW</v>
      </c>
    </row>
    <row r="503" spans="1:7" x14ac:dyDescent="0.2">
      <c r="A503" t="s">
        <v>1427</v>
      </c>
      <c r="B503" t="s">
        <v>1455</v>
      </c>
      <c r="C503">
        <v>25.8607563829787</v>
      </c>
      <c r="D503">
        <v>84.036519787233999</v>
      </c>
      <c r="E503">
        <f t="shared" si="14"/>
        <v>506.98922034433946</v>
      </c>
      <c r="F503" s="34">
        <f t="shared" si="15"/>
        <v>320.89045066744427</v>
      </c>
      <c r="G503" t="str" cm="1">
        <f t="array" ref="G503">IFERROR(
  _xlfn.IFS(F503="Current City","No Direction",
    OR(F503&gt;=337.5,F503&lt;22.5),"N",
    F503&lt;67.5,"NE",
    F503&lt;112.5,"E",
    F503&lt;157.5,"SE",
    F503&lt;202.5,"S",
    F503&lt;247.5,"SW",
    F503&lt;292.5,"W",
    F503&lt;337.5,"NW"
  ), "No Direction"
)</f>
        <v>NW</v>
      </c>
    </row>
    <row r="504" spans="1:7" x14ac:dyDescent="0.2">
      <c r="A504" t="s">
        <v>1427</v>
      </c>
      <c r="B504" t="s">
        <v>1458</v>
      </c>
      <c r="C504">
        <v>27.449076537911299</v>
      </c>
      <c r="D504">
        <v>82.471583261802493</v>
      </c>
      <c r="E504">
        <f t="shared" si="14"/>
        <v>742.30045105727777</v>
      </c>
      <c r="F504" s="34">
        <f t="shared" si="15"/>
        <v>320.69908551487379</v>
      </c>
      <c r="G504" t="str" cm="1">
        <f t="array" ref="G504">IFERROR(
  _xlfn.IFS(F504="Current City","No Direction",
    OR(F504&gt;=337.5,F504&lt;22.5),"N",
    F504&lt;67.5,"NE",
    F504&lt;112.5,"E",
    F504&lt;157.5,"SE",
    F504&lt;202.5,"S",
    F504&lt;247.5,"SW",
    F504&lt;292.5,"W",
    F504&lt;337.5,"NW"
  ), "No Direction"
)</f>
        <v>NW</v>
      </c>
    </row>
    <row r="505" spans="1:7" x14ac:dyDescent="0.2">
      <c r="A505" t="s">
        <v>1427</v>
      </c>
      <c r="B505" t="s">
        <v>1461</v>
      </c>
      <c r="C505">
        <v>25.351885902503199</v>
      </c>
      <c r="D505">
        <v>80.524873913043393</v>
      </c>
      <c r="E505">
        <f t="shared" si="14"/>
        <v>758.89179143938077</v>
      </c>
      <c r="F505" s="34">
        <f t="shared" si="15"/>
        <v>297.37134474968173</v>
      </c>
      <c r="G505" t="str" cm="1">
        <f t="array" ref="G505">IFERROR(
  _xlfn.IFS(F505="Current City","No Direction",
    OR(F505&gt;=337.5,F505&lt;22.5),"N",
    F505&lt;67.5,"NE",
    F505&lt;112.5,"E",
    F505&lt;157.5,"SE",
    F505&lt;202.5,"S",
    F505&lt;247.5,"SW",
    F505&lt;292.5,"W",
    F505&lt;337.5,"NW"
  ), "No Direction"
)</f>
        <v>NW</v>
      </c>
    </row>
    <row r="506" spans="1:7" x14ac:dyDescent="0.2">
      <c r="A506" t="s">
        <v>1427</v>
      </c>
      <c r="B506" t="s">
        <v>1464</v>
      </c>
      <c r="C506">
        <v>26.922777025232399</v>
      </c>
      <c r="D506">
        <v>81.357623505975994</v>
      </c>
      <c r="E506">
        <f t="shared" si="14"/>
        <v>781.04155060109099</v>
      </c>
      <c r="F506" s="34">
        <f t="shared" si="15"/>
        <v>311.74502547994382</v>
      </c>
      <c r="G506" t="str" cm="1">
        <f t="array" ref="G506">IFERROR(
  _xlfn.IFS(F506="Current City","No Direction",
    OR(F506&gt;=337.5,F506&lt;22.5),"N",
    F506&lt;67.5,"NE",
    F506&lt;112.5,"E",
    F506&lt;157.5,"SE",
    F506&lt;202.5,"S",
    F506&lt;247.5,"SW",
    F506&lt;292.5,"W",
    F506&lt;337.5,"NW"
  ), "No Direction"
)</f>
        <v>NW</v>
      </c>
    </row>
    <row r="507" spans="1:7" x14ac:dyDescent="0.2">
      <c r="A507" t="s">
        <v>1427</v>
      </c>
      <c r="B507" t="s">
        <v>1467</v>
      </c>
      <c r="C507">
        <v>28.5110194078947</v>
      </c>
      <c r="D507">
        <v>79.431870723684099</v>
      </c>
      <c r="E507">
        <f t="shared" si="14"/>
        <v>1039.6091094224323</v>
      </c>
      <c r="F507" s="34">
        <f t="shared" si="15"/>
        <v>312.77636514228089</v>
      </c>
      <c r="G507" t="str" cm="1">
        <f t="array" ref="G507">IFERROR(
  _xlfn.IFS(F507="Current City","No Direction",
    OR(F507&gt;=337.5,F507&lt;22.5),"N",
    F507&lt;67.5,"NE",
    F507&lt;112.5,"E",
    F507&lt;157.5,"SE",
    F507&lt;202.5,"S",
    F507&lt;247.5,"SW",
    F507&lt;292.5,"W",
    F507&lt;337.5,"NW"
  ), "No Direction"
)</f>
        <v>NW</v>
      </c>
    </row>
    <row r="508" spans="1:7" x14ac:dyDescent="0.2">
      <c r="A508" t="s">
        <v>1427</v>
      </c>
      <c r="B508" t="s">
        <v>1470</v>
      </c>
      <c r="C508">
        <v>26.833880454545401</v>
      </c>
      <c r="D508">
        <v>82.697905909090906</v>
      </c>
      <c r="E508">
        <f t="shared" si="14"/>
        <v>676.69504752552041</v>
      </c>
      <c r="F508" s="34">
        <f t="shared" si="15"/>
        <v>318.30001043851883</v>
      </c>
      <c r="G508" t="str" cm="1">
        <f t="array" ref="G508">IFERROR(
  _xlfn.IFS(F508="Current City","No Direction",
    OR(F508&gt;=337.5,F508&lt;22.5),"N",
    F508&lt;67.5,"NE",
    F508&lt;112.5,"E",
    F508&lt;157.5,"SE",
    F508&lt;202.5,"S",
    F508&lt;247.5,"SW",
    F508&lt;292.5,"W",
    F508&lt;337.5,"NW"
  ), "No Direction"
)</f>
        <v>NW</v>
      </c>
    </row>
    <row r="509" spans="1:7" x14ac:dyDescent="0.2">
      <c r="A509" t="s">
        <v>1427</v>
      </c>
      <c r="B509" t="s">
        <v>1473</v>
      </c>
      <c r="C509">
        <v>29.313974259681</v>
      </c>
      <c r="D509">
        <v>78.450988154897502</v>
      </c>
      <c r="E509">
        <f t="shared" si="14"/>
        <v>1170.0564647450749</v>
      </c>
      <c r="F509" s="34">
        <f t="shared" si="15"/>
        <v>313.21408716808907</v>
      </c>
      <c r="G509" t="str" cm="1">
        <f t="array" ref="G509">IFERROR(
  _xlfn.IFS(F509="Current City","No Direction",
    OR(F509&gt;=337.5,F509&lt;22.5),"N",
    F509&lt;67.5,"NE",
    F509&lt;112.5,"E",
    F509&lt;157.5,"SE",
    F509&lt;202.5,"S",
    F509&lt;247.5,"SW",
    F509&lt;292.5,"W",
    F509&lt;337.5,"NW"
  ), "No Direction"
)</f>
        <v>NW</v>
      </c>
    </row>
    <row r="510" spans="1:7" x14ac:dyDescent="0.2">
      <c r="A510" t="s">
        <v>1427</v>
      </c>
      <c r="B510" t="s">
        <v>1476</v>
      </c>
      <c r="C510">
        <v>28.348758620689601</v>
      </c>
      <c r="D510">
        <v>78.010827586206801</v>
      </c>
      <c r="E510">
        <f t="shared" si="14"/>
        <v>1140.5968635725521</v>
      </c>
      <c r="F510" s="34">
        <f t="shared" si="15"/>
        <v>307.63870000458945</v>
      </c>
      <c r="G510" t="str" cm="1">
        <f t="array" ref="G510">IFERROR(
  _xlfn.IFS(F510="Current City","No Direction",
    OR(F510&gt;=337.5,F510&lt;22.5),"N",
    F510&lt;67.5,"NE",
    F510&lt;112.5,"E",
    F510&lt;157.5,"SE",
    F510&lt;202.5,"S",
    F510&lt;247.5,"SW",
    F510&lt;292.5,"W",
    F510&lt;337.5,"NW"
  ), "No Direction"
)</f>
        <v>NW</v>
      </c>
    </row>
    <row r="511" spans="1:7" x14ac:dyDescent="0.2">
      <c r="A511" t="s">
        <v>1427</v>
      </c>
      <c r="B511" t="s">
        <v>1479</v>
      </c>
      <c r="C511">
        <v>25.1180859611231</v>
      </c>
      <c r="D511">
        <v>83.253070626349796</v>
      </c>
      <c r="E511">
        <f t="shared" si="14"/>
        <v>508.22698230553129</v>
      </c>
      <c r="F511" s="34">
        <f t="shared" si="15"/>
        <v>307.97927190816961</v>
      </c>
      <c r="G511" t="str" cm="1">
        <f t="array" ref="G511">IFERROR(
  _xlfn.IFS(F511="Current City","No Direction",
    OR(F511&gt;=337.5,F511&lt;22.5),"N",
    F511&lt;67.5,"NE",
    F511&lt;112.5,"E",
    F511&lt;157.5,"SE",
    F511&lt;202.5,"S",
    F511&lt;247.5,"SW",
    F511&lt;292.5,"W",
    F511&lt;337.5,"NW"
  ), "No Direction"
)</f>
        <v>NW</v>
      </c>
    </row>
    <row r="512" spans="1:7" x14ac:dyDescent="0.2">
      <c r="A512" t="s">
        <v>1427</v>
      </c>
      <c r="B512" t="s">
        <v>1481</v>
      </c>
      <c r="C512">
        <v>25.159924623803001</v>
      </c>
      <c r="D512">
        <v>81.0766608755129</v>
      </c>
      <c r="E512">
        <f t="shared" si="14"/>
        <v>699.57404317647035</v>
      </c>
      <c r="F512" s="34">
        <f t="shared" si="15"/>
        <v>297.68910006416576</v>
      </c>
      <c r="G512" t="str" cm="1">
        <f t="array" ref="G512">IFERROR(
  _xlfn.IFS(F512="Current City","No Direction",
    OR(F512&gt;=337.5,F512&lt;22.5),"N",
    F512&lt;67.5,"NE",
    F512&lt;112.5,"E",
    F512&lt;157.5,"SE",
    F512&lt;202.5,"S",
    F512&lt;247.5,"SW",
    F512&lt;292.5,"W",
    F512&lt;337.5,"NW"
  ), "No Direction"
)</f>
        <v>NW</v>
      </c>
    </row>
    <row r="513" spans="1:7" x14ac:dyDescent="0.2">
      <c r="A513" t="s">
        <v>1427</v>
      </c>
      <c r="B513" t="s">
        <v>1483</v>
      </c>
      <c r="C513">
        <v>26.422188565488501</v>
      </c>
      <c r="D513">
        <v>83.824407068607101</v>
      </c>
      <c r="E513">
        <f t="shared" si="14"/>
        <v>568.74993061957093</v>
      </c>
      <c r="F513" s="34">
        <f t="shared" si="15"/>
        <v>323.35278825156422</v>
      </c>
      <c r="G513" t="str" cm="1">
        <f t="array" ref="G513">IFERROR(
  _xlfn.IFS(F513="Current City","No Direction",
    OR(F513&gt;=337.5,F513&lt;22.5),"N",
    F513&lt;67.5,"NE",
    F513&lt;112.5,"E",
    F513&lt;157.5,"SE",
    F513&lt;202.5,"S",
    F513&lt;247.5,"SW",
    F513&lt;292.5,"W",
    F513&lt;337.5,"NW"
  ), "No Direction"
)</f>
        <v>NW</v>
      </c>
    </row>
    <row r="514" spans="1:7" x14ac:dyDescent="0.2">
      <c r="A514" t="s">
        <v>1427</v>
      </c>
      <c r="B514" t="s">
        <v>1485</v>
      </c>
      <c r="C514">
        <v>27.5911553097344</v>
      </c>
      <c r="D514">
        <v>78.700218584070797</v>
      </c>
      <c r="E514">
        <f t="shared" ref="E514:E577" si="16">2*6371*ASIN(SQRT(
    SIN(RADIANS(C514-$M$7)/2)^2 +
    COS(RADIANS($M$7)) * COS(RADIANS(C514)) *
    SIN(RADIANS(D514-$M$8)/2)^2
))</f>
        <v>1037.9476235639779</v>
      </c>
      <c r="F514" s="34">
        <f t="shared" si="15"/>
        <v>305.84940055603016</v>
      </c>
      <c r="G514" t="str" cm="1">
        <f t="array" ref="G514">IFERROR(
  _xlfn.IFS(F514="Current City","No Direction",
    OR(F514&gt;=337.5,F514&lt;22.5),"N",
    F514&lt;67.5,"NE",
    F514&lt;112.5,"E",
    F514&lt;157.5,"SE",
    F514&lt;202.5,"S",
    F514&lt;247.5,"SW",
    F514&lt;292.5,"W",
    F514&lt;337.5,"NW"
  ), "No Direction"
)</f>
        <v>NW</v>
      </c>
    </row>
    <row r="515" spans="1:7" x14ac:dyDescent="0.2">
      <c r="A515" t="s">
        <v>1427</v>
      </c>
      <c r="B515" t="s">
        <v>1488</v>
      </c>
      <c r="C515">
        <v>26.788176701570599</v>
      </c>
      <c r="D515">
        <v>79.076218062827195</v>
      </c>
      <c r="E515">
        <f t="shared" si="16"/>
        <v>960.37289770524399</v>
      </c>
      <c r="F515" s="34">
        <f t="shared" ref="F515:F578" si="17">IFERROR(MOD(DEGREES(ATAN2(COS(RADIANS($M$7))*SIN(RADIANS(C515))-SIN(RADIANS($M$7))*COS(RADIANS(C515))*COS(RADIANS(D515-$M$8)), SIN(RADIANS(D515-$M$8))*COS(RADIANS(C515))))+360, 360),"Current City")</f>
        <v>302.52008513985368</v>
      </c>
      <c r="G515" t="str" cm="1">
        <f t="array" ref="G515">IFERROR(
  _xlfn.IFS(F515="Current City","No Direction",
    OR(F515&gt;=337.5,F515&lt;22.5),"N",
    F515&lt;67.5,"NE",
    F515&lt;112.5,"E",
    F515&lt;157.5,"SE",
    F515&lt;202.5,"S",
    F515&lt;247.5,"SW",
    F515&lt;292.5,"W",
    F515&lt;337.5,"NW"
  ), "No Direction"
)</f>
        <v>NW</v>
      </c>
    </row>
    <row r="516" spans="1:7" x14ac:dyDescent="0.2">
      <c r="A516" t="s">
        <v>1427</v>
      </c>
      <c r="B516" t="s">
        <v>1491</v>
      </c>
      <c r="C516">
        <v>26.605891851851801</v>
      </c>
      <c r="D516">
        <v>82.007835308642001</v>
      </c>
      <c r="E516">
        <f t="shared" si="16"/>
        <v>708.93600878924167</v>
      </c>
      <c r="F516" s="34">
        <f t="shared" si="17"/>
        <v>312.86238210122644</v>
      </c>
      <c r="G516" t="str" cm="1">
        <f t="array" ref="G516">IFERROR(
  _xlfn.IFS(F516="Current City","No Direction",
    OR(F516&gt;=337.5,F516&lt;22.5),"N",
    F516&lt;67.5,"NE",
    F516&lt;112.5,"E",
    F516&lt;157.5,"SE",
    F516&lt;202.5,"S",
    F516&lt;247.5,"SW",
    F516&lt;292.5,"W",
    F516&lt;337.5,"NW"
  ), "No Direction"
)</f>
        <v>NW</v>
      </c>
    </row>
    <row r="517" spans="1:7" x14ac:dyDescent="0.2">
      <c r="A517" t="s">
        <v>1427</v>
      </c>
      <c r="B517" t="s">
        <v>1494</v>
      </c>
      <c r="C517">
        <v>27.450632978723402</v>
      </c>
      <c r="D517">
        <v>79.440628457446806</v>
      </c>
      <c r="E517">
        <f t="shared" si="16"/>
        <v>968.27676658047812</v>
      </c>
      <c r="F517" s="34">
        <f t="shared" si="17"/>
        <v>307.39051539647448</v>
      </c>
      <c r="G517" t="str" cm="1">
        <f t="array" ref="G517">IFERROR(
  _xlfn.IFS(F517="Current City","No Direction",
    OR(F517&gt;=337.5,F517&lt;22.5),"N",
    F517&lt;67.5,"NE",
    F517&lt;112.5,"E",
    F517&lt;157.5,"SE",
    F517&lt;202.5,"S",
    F517&lt;247.5,"SW",
    F517&lt;292.5,"W",
    F517&lt;337.5,"NW"
  ), "No Direction"
)</f>
        <v>NW</v>
      </c>
    </row>
    <row r="518" spans="1:7" x14ac:dyDescent="0.2">
      <c r="A518" t="s">
        <v>1427</v>
      </c>
      <c r="B518" t="s">
        <v>1496</v>
      </c>
      <c r="C518">
        <v>25.837436203090501</v>
      </c>
      <c r="D518">
        <v>80.854162030905002</v>
      </c>
      <c r="E518">
        <f t="shared" si="16"/>
        <v>754.09277164279672</v>
      </c>
      <c r="F518" s="34">
        <f t="shared" si="17"/>
        <v>302.1635994463083</v>
      </c>
      <c r="G518" t="str" cm="1">
        <f t="array" ref="G518">IFERROR(
  _xlfn.IFS(F518="Current City","No Direction",
    OR(F518&gt;=337.5,F518&lt;22.5),"N",
    F518&lt;67.5,"NE",
    F518&lt;112.5,"E",
    F518&lt;157.5,"SE",
    F518&lt;202.5,"S",
    F518&lt;247.5,"SW",
    F518&lt;292.5,"W",
    F518&lt;337.5,"NW"
  ), "No Direction"
)</f>
        <v>NW</v>
      </c>
    </row>
    <row r="519" spans="1:7" x14ac:dyDescent="0.2">
      <c r="A519" t="s">
        <v>1427</v>
      </c>
      <c r="B519" t="s">
        <v>1498</v>
      </c>
      <c r="C519">
        <v>27.2096399305555</v>
      </c>
      <c r="D519">
        <v>78.426606249999907</v>
      </c>
      <c r="E519">
        <f t="shared" si="16"/>
        <v>1039.426297427505</v>
      </c>
      <c r="F519" s="34">
        <f t="shared" si="17"/>
        <v>303.06382518196546</v>
      </c>
      <c r="G519" t="str" cm="1">
        <f t="array" ref="G519">IFERROR(
  _xlfn.IFS(F519="Current City","No Direction",
    OR(F519&gt;=337.5,F519&lt;22.5),"N",
    F519&lt;67.5,"NE",
    F519&lt;112.5,"E",
    F519&lt;157.5,"SE",
    F519&lt;202.5,"S",
    F519&lt;247.5,"SW",
    F519&lt;292.5,"W",
    F519&lt;337.5,"NW"
  ), "No Direction"
)</f>
        <v>NW</v>
      </c>
    </row>
    <row r="520" spans="1:7" x14ac:dyDescent="0.2">
      <c r="A520" t="s">
        <v>1427</v>
      </c>
      <c r="B520" t="s">
        <v>1501</v>
      </c>
      <c r="C520">
        <v>28.393311038960999</v>
      </c>
      <c r="D520">
        <v>77.524624675324603</v>
      </c>
      <c r="E520">
        <f t="shared" si="16"/>
        <v>1183.1799992154704</v>
      </c>
      <c r="F520" s="34">
        <f t="shared" si="17"/>
        <v>306.55881471886869</v>
      </c>
      <c r="G520" t="str" cm="1">
        <f t="array" ref="G520">IFERROR(
  _xlfn.IFS(F520="Current City","No Direction",
    OR(F520&gt;=337.5,F520&lt;22.5),"N",
    F520&lt;67.5,"NE",
    F520&lt;112.5,"E",
    F520&lt;157.5,"SE",
    F520&lt;202.5,"S",
    F520&lt;247.5,"SW",
    F520&lt;292.5,"W",
    F520&lt;337.5,"NW"
  ), "No Direction"
)</f>
        <v>NW</v>
      </c>
    </row>
    <row r="521" spans="1:7" x14ac:dyDescent="0.2">
      <c r="A521" t="s">
        <v>1427</v>
      </c>
      <c r="B521" t="s">
        <v>1504</v>
      </c>
      <c r="C521">
        <v>28.749973085846801</v>
      </c>
      <c r="D521">
        <v>77.674418793503406</v>
      </c>
      <c r="E521">
        <f t="shared" si="16"/>
        <v>1192.8025336985406</v>
      </c>
      <c r="F521" s="34">
        <f t="shared" si="17"/>
        <v>308.55563326000197</v>
      </c>
      <c r="G521" t="str" cm="1">
        <f t="array" ref="G521">IFERROR(
  _xlfn.IFS(F521="Current City","No Direction",
    OR(F521&gt;=337.5,F521&lt;22.5),"N",
    F521&lt;67.5,"NE",
    F521&lt;112.5,"E",
    F521&lt;157.5,"SE",
    F521&lt;202.5,"S",
    F521&lt;247.5,"SW",
    F521&lt;292.5,"W",
    F521&lt;337.5,"NW"
  ), "No Direction"
)</f>
        <v>NW</v>
      </c>
    </row>
    <row r="522" spans="1:7" x14ac:dyDescent="0.2">
      <c r="A522" t="s">
        <v>1427</v>
      </c>
      <c r="B522" t="s">
        <v>1507</v>
      </c>
      <c r="C522">
        <v>25.624724775583399</v>
      </c>
      <c r="D522">
        <v>83.536085457809705</v>
      </c>
      <c r="E522">
        <f t="shared" si="16"/>
        <v>522.52028683386004</v>
      </c>
      <c r="F522" s="34">
        <f t="shared" si="17"/>
        <v>314.82467449408739</v>
      </c>
      <c r="G522" t="str" cm="1">
        <f t="array" ref="G522">IFERROR(
  _xlfn.IFS(F522="Current City","No Direction",
    OR(F522&gt;=337.5,F522&lt;22.5),"N",
    F522&lt;67.5,"NE",
    F522&lt;112.5,"E",
    F522&lt;157.5,"SE",
    F522&lt;202.5,"S",
    F522&lt;247.5,"SW",
    F522&lt;292.5,"W",
    F522&lt;337.5,"NW"
  ), "No Direction"
)</f>
        <v>NW</v>
      </c>
    </row>
    <row r="523" spans="1:7" x14ac:dyDescent="0.2">
      <c r="A523" t="s">
        <v>1427</v>
      </c>
      <c r="B523" t="s">
        <v>1509</v>
      </c>
      <c r="C523">
        <v>27.157215552099501</v>
      </c>
      <c r="D523">
        <v>82.022688802488204</v>
      </c>
      <c r="E523">
        <f t="shared" si="16"/>
        <v>749.29149130002679</v>
      </c>
      <c r="F523" s="34">
        <f t="shared" si="17"/>
        <v>316.50061218581914</v>
      </c>
      <c r="G523" t="str" cm="1">
        <f t="array" ref="G523">IFERROR(
  _xlfn.IFS(F523="Current City","No Direction",
    OR(F523&gt;=337.5,F523&lt;22.5),"N",
    F523&lt;67.5,"NE",
    F523&lt;112.5,"E",
    F523&lt;157.5,"SE",
    F523&lt;202.5,"S",
    F523&lt;247.5,"SW",
    F523&lt;292.5,"W",
    F523&lt;337.5,"NW"
  ), "No Direction"
)</f>
        <v>NW</v>
      </c>
    </row>
    <row r="524" spans="1:7" x14ac:dyDescent="0.2">
      <c r="A524" t="s">
        <v>1427</v>
      </c>
      <c r="B524" t="s">
        <v>1511</v>
      </c>
      <c r="C524">
        <v>26.6331588679245</v>
      </c>
      <c r="D524">
        <v>83.354956037735803</v>
      </c>
      <c r="E524">
        <f t="shared" si="16"/>
        <v>616.45208919024287</v>
      </c>
      <c r="F524" s="34">
        <f t="shared" si="17"/>
        <v>321.283040576433</v>
      </c>
      <c r="G524" t="str" cm="1">
        <f t="array" ref="G524">IFERROR(
  _xlfn.IFS(F524="Current City","No Direction",
    OR(F524&gt;=337.5,F524&lt;22.5),"N",
    F524&lt;67.5,"NE",
    F524&lt;112.5,"E",
    F524&lt;157.5,"SE",
    F524&lt;202.5,"S",
    F524&lt;247.5,"SW",
    F524&lt;292.5,"W",
    F524&lt;337.5,"NW"
  ), "No Direction"
)</f>
        <v>NW</v>
      </c>
    </row>
    <row r="525" spans="1:7" x14ac:dyDescent="0.2">
      <c r="A525" t="s">
        <v>1427</v>
      </c>
      <c r="B525" t="s">
        <v>494</v>
      </c>
      <c r="C525">
        <v>25.738158381502799</v>
      </c>
      <c r="D525">
        <v>79.826194797687805</v>
      </c>
      <c r="E525">
        <f t="shared" si="16"/>
        <v>840.54741096708744</v>
      </c>
      <c r="F525" s="34">
        <f t="shared" si="17"/>
        <v>298.05553572504493</v>
      </c>
      <c r="G525" t="str" cm="1">
        <f t="array" ref="G525">IFERROR(
  _xlfn.IFS(F525="Current City","No Direction",
    OR(F525&gt;=337.5,F525&lt;22.5),"N",
    F525&lt;67.5,"NE",
    F525&lt;112.5,"E",
    F525&lt;157.5,"SE",
    F525&lt;202.5,"S",
    F525&lt;247.5,"SW",
    F525&lt;292.5,"W",
    F525&lt;337.5,"NW"
  ), "No Direction"
)</f>
        <v>NW</v>
      </c>
    </row>
    <row r="526" spans="1:7" x14ac:dyDescent="0.2">
      <c r="A526" t="s">
        <v>1427</v>
      </c>
      <c r="B526" t="s">
        <v>1515</v>
      </c>
      <c r="C526">
        <v>27.337409090909102</v>
      </c>
      <c r="D526">
        <v>80.264117676767597</v>
      </c>
      <c r="E526">
        <f t="shared" si="16"/>
        <v>894.71121627370428</v>
      </c>
      <c r="F526" s="34">
        <f t="shared" si="17"/>
        <v>309.66573030858967</v>
      </c>
      <c r="G526" t="str" cm="1">
        <f t="array" ref="G526">IFERROR(
  _xlfn.IFS(F526="Current City","No Direction",
    OR(F526&gt;=337.5,F526&lt;22.5),"N",
    F526&lt;67.5,"NE",
    F526&lt;112.5,"E",
    F526&lt;157.5,"SE",
    F526&lt;202.5,"S",
    F526&lt;247.5,"SW",
    F526&lt;292.5,"W",
    F526&lt;337.5,"NW"
  ), "No Direction"
)</f>
        <v>NW</v>
      </c>
    </row>
    <row r="527" spans="1:7" x14ac:dyDescent="0.2">
      <c r="A527" t="s">
        <v>1427</v>
      </c>
      <c r="B527" t="s">
        <v>1518</v>
      </c>
      <c r="C527">
        <v>27.578146612466099</v>
      </c>
      <c r="D527">
        <v>78.182510840108407</v>
      </c>
      <c r="E527">
        <f t="shared" si="16"/>
        <v>1080.7608591825774</v>
      </c>
      <c r="F527" s="34">
        <f t="shared" si="17"/>
        <v>304.338916157293</v>
      </c>
      <c r="G527" t="str" cm="1">
        <f t="array" ref="G527">IFERROR(
  _xlfn.IFS(F527="Current City","No Direction",
    OR(F527&gt;=337.5,F527&lt;22.5),"N",
    F527&lt;67.5,"NE",
    F527&lt;112.5,"E",
    F527&lt;157.5,"SE",
    F527&lt;202.5,"S",
    F527&lt;247.5,"SW",
    F527&lt;292.5,"W",
    F527&lt;337.5,"NW"
  ), "No Direction"
)</f>
        <v>NW</v>
      </c>
    </row>
    <row r="528" spans="1:7" x14ac:dyDescent="0.2">
      <c r="A528" t="s">
        <v>1427</v>
      </c>
      <c r="B528" t="s">
        <v>1521</v>
      </c>
      <c r="C528">
        <v>26.067954587155899</v>
      </c>
      <c r="D528">
        <v>79.366869113149903</v>
      </c>
      <c r="E528">
        <f t="shared" si="16"/>
        <v>897.77495766234347</v>
      </c>
      <c r="F528" s="34">
        <f t="shared" si="17"/>
        <v>298.94468635208727</v>
      </c>
      <c r="G528" t="str" cm="1">
        <f t="array" ref="G528">IFERROR(
  _xlfn.IFS(F528="Current City","No Direction",
    OR(F528&gt;=337.5,F528&lt;22.5),"N",
    F528&lt;67.5,"NE",
    F528&lt;112.5,"E",
    F528&lt;157.5,"SE",
    F528&lt;202.5,"S",
    F528&lt;247.5,"SW",
    F528&lt;292.5,"W",
    F528&lt;337.5,"NW"
  ), "No Direction"
)</f>
        <v>NW</v>
      </c>
    </row>
    <row r="529" spans="1:7" x14ac:dyDescent="0.2">
      <c r="A529" t="s">
        <v>1427</v>
      </c>
      <c r="B529" t="s">
        <v>1524</v>
      </c>
      <c r="C529">
        <v>25.701412809131199</v>
      </c>
      <c r="D529">
        <v>82.543153519340606</v>
      </c>
      <c r="E529">
        <f t="shared" si="16"/>
        <v>604.16371624630096</v>
      </c>
      <c r="F529" s="34">
        <f t="shared" si="17"/>
        <v>308.94689169362061</v>
      </c>
      <c r="G529" t="str" cm="1">
        <f t="array" ref="G529">IFERROR(
  _xlfn.IFS(F529="Current City","No Direction",
    OR(F529&gt;=337.5,F529&lt;22.5),"N",
    F529&lt;67.5,"NE",
    F529&lt;112.5,"E",
    F529&lt;157.5,"SE",
    F529&lt;202.5,"S",
    F529&lt;247.5,"SW",
    F529&lt;292.5,"W",
    F529&lt;337.5,"NW"
  ), "No Direction"
)</f>
        <v>NW</v>
      </c>
    </row>
    <row r="530" spans="1:7" x14ac:dyDescent="0.2">
      <c r="A530" t="s">
        <v>1427</v>
      </c>
      <c r="B530" t="s">
        <v>1527</v>
      </c>
      <c r="C530">
        <v>25.455815352348999</v>
      </c>
      <c r="D530">
        <v>78.899545805369101</v>
      </c>
      <c r="E530">
        <f t="shared" si="16"/>
        <v>914.17806763765066</v>
      </c>
      <c r="F530" s="34">
        <f t="shared" si="17"/>
        <v>293.80556453386919</v>
      </c>
      <c r="G530" t="str" cm="1">
        <f t="array" ref="G530">IFERROR(
  _xlfn.IFS(F530="Current City","No Direction",
    OR(F530&gt;=337.5,F530&lt;22.5),"N",
    F530&lt;67.5,"NE",
    F530&lt;112.5,"E",
    F530&lt;157.5,"SE",
    F530&lt;202.5,"S",
    F530&lt;247.5,"SW",
    F530&lt;292.5,"W",
    F530&lt;337.5,"NW"
  ), "No Direction"
)</f>
        <v>NW</v>
      </c>
    </row>
    <row r="531" spans="1:7" x14ac:dyDescent="0.2">
      <c r="A531" t="s">
        <v>1427</v>
      </c>
      <c r="B531" t="s">
        <v>1530</v>
      </c>
      <c r="C531">
        <v>28.870498984771501</v>
      </c>
      <c r="D531">
        <v>78.390093654822394</v>
      </c>
      <c r="E531">
        <f t="shared" si="16"/>
        <v>1144.1160027182748</v>
      </c>
      <c r="F531" s="34">
        <f t="shared" si="17"/>
        <v>311.1050503143303</v>
      </c>
      <c r="G531" t="str" cm="1">
        <f t="array" ref="G531">IFERROR(
  _xlfn.IFS(F531="Current City","No Direction",
    OR(F531&gt;=337.5,F531&lt;22.5),"N",
    F531&lt;67.5,"NE",
    F531&lt;112.5,"E",
    F531&lt;157.5,"SE",
    F531&lt;202.5,"S",
    F531&lt;247.5,"SW",
    F531&lt;292.5,"W",
    F531&lt;337.5,"NW"
  ), "No Direction"
)</f>
        <v>NW</v>
      </c>
    </row>
    <row r="532" spans="1:7" x14ac:dyDescent="0.2">
      <c r="A532" t="s">
        <v>1427</v>
      </c>
      <c r="B532" t="s">
        <v>1533</v>
      </c>
      <c r="C532">
        <v>26.993988617886099</v>
      </c>
      <c r="D532">
        <v>79.644379403794005</v>
      </c>
      <c r="E532">
        <f t="shared" si="16"/>
        <v>923.60717735288006</v>
      </c>
      <c r="F532" s="34">
        <f t="shared" si="17"/>
        <v>305.47827677033138</v>
      </c>
      <c r="G532" t="str" cm="1">
        <f t="array" ref="G532">IFERROR(
  _xlfn.IFS(F532="Current City","No Direction",
    OR(F532&gt;=337.5,F532&lt;22.5),"N",
    F532&lt;67.5,"NE",
    F532&lt;112.5,"E",
    F532&lt;157.5,"SE",
    F532&lt;202.5,"S",
    F532&lt;247.5,"SW",
    F532&lt;292.5,"W",
    F532&lt;337.5,"NW"
  ), "No Direction"
)</f>
        <v>NW</v>
      </c>
    </row>
    <row r="533" spans="1:7" x14ac:dyDescent="0.2">
      <c r="A533" t="s">
        <v>1427</v>
      </c>
      <c r="B533" t="s">
        <v>1536</v>
      </c>
      <c r="C533">
        <v>26.4304764119601</v>
      </c>
      <c r="D533">
        <v>79.9871008305647</v>
      </c>
      <c r="E533">
        <f t="shared" si="16"/>
        <v>861.99428840697067</v>
      </c>
      <c r="F533" s="34">
        <f t="shared" si="17"/>
        <v>303.16521082313386</v>
      </c>
      <c r="G533" t="str" cm="1">
        <f t="array" ref="G533">IFERROR(
  _xlfn.IFS(F533="Current City","No Direction",
    OR(F533&gt;=337.5,F533&lt;22.5),"N",
    F533&lt;67.5,"NE",
    F533&lt;112.5,"E",
    F533&lt;157.5,"SE",
    F533&lt;202.5,"S",
    F533&lt;247.5,"SW",
    F533&lt;292.5,"W",
    F533&lt;337.5,"NW"
  ), "No Direction"
)</f>
        <v>NW</v>
      </c>
    </row>
    <row r="534" spans="1:7" x14ac:dyDescent="0.2">
      <c r="A534" t="s">
        <v>1427</v>
      </c>
      <c r="B534" t="s">
        <v>1539</v>
      </c>
      <c r="C534">
        <v>26.370469354838701</v>
      </c>
      <c r="D534">
        <v>80.292515725806496</v>
      </c>
      <c r="E534">
        <f t="shared" si="16"/>
        <v>832.40825774499524</v>
      </c>
      <c r="F534" s="34">
        <f t="shared" si="17"/>
        <v>303.82465441292794</v>
      </c>
      <c r="G534" t="str" cm="1">
        <f t="array" ref="G534">IFERROR(
  _xlfn.IFS(F534="Current City","No Direction",
    OR(F534&gt;=337.5,F534&lt;22.5),"N",
    F534&lt;67.5,"NE",
    F534&lt;112.5,"E",
    F534&lt;157.5,"SE",
    F534&lt;202.5,"S",
    F534&lt;247.5,"SW",
    F534&lt;292.5,"W",
    F534&lt;337.5,"NW"
  ), "No Direction"
)</f>
        <v>NW</v>
      </c>
    </row>
    <row r="535" spans="1:7" x14ac:dyDescent="0.2">
      <c r="A535" t="s">
        <v>1427</v>
      </c>
      <c r="B535" t="s">
        <v>1541</v>
      </c>
      <c r="C535">
        <v>25.535875320512801</v>
      </c>
      <c r="D535">
        <v>81.418112820512803</v>
      </c>
      <c r="E535">
        <f t="shared" si="16"/>
        <v>688.3928761990054</v>
      </c>
      <c r="F535" s="34">
        <f t="shared" si="17"/>
        <v>302.06754847328</v>
      </c>
      <c r="G535" t="str" cm="1">
        <f t="array" ref="G535">IFERROR(
  _xlfn.IFS(F535="Current City","No Direction",
    OR(F535&gt;=337.5,F535&lt;22.5),"N",
    F535&lt;67.5,"NE",
    F535&lt;112.5,"E",
    F535&lt;157.5,"SE",
    F535&lt;202.5,"S",
    F535&lt;247.5,"SW",
    F535&lt;292.5,"W",
    F535&lt;337.5,"NW"
  ), "No Direction"
)</f>
        <v>NW</v>
      </c>
    </row>
    <row r="536" spans="1:7" x14ac:dyDescent="0.2">
      <c r="A536" t="s">
        <v>1427</v>
      </c>
      <c r="B536" t="s">
        <v>1544</v>
      </c>
      <c r="C536">
        <v>26.8925306759098</v>
      </c>
      <c r="D536">
        <v>83.922615424610001</v>
      </c>
      <c r="E536">
        <f t="shared" si="16"/>
        <v>605.24476259128221</v>
      </c>
      <c r="F536" s="34">
        <f t="shared" si="17"/>
        <v>327.13926945700297</v>
      </c>
      <c r="G536" t="str" cm="1">
        <f t="array" ref="G536">IFERROR(
  _xlfn.IFS(F536="Current City","No Direction",
    OR(F536&gt;=337.5,F536&lt;22.5),"N",
    F536&lt;67.5,"NE",
    F536&lt;112.5,"E",
    F536&lt;157.5,"SE",
    F536&lt;202.5,"S",
    F536&lt;247.5,"SW",
    F536&lt;292.5,"W",
    F536&lt;337.5,"NW"
  ), "No Direction"
)</f>
        <v>NW</v>
      </c>
    </row>
    <row r="537" spans="1:7" x14ac:dyDescent="0.2">
      <c r="A537" t="s">
        <v>1427</v>
      </c>
      <c r="B537" t="s">
        <v>1547</v>
      </c>
      <c r="C537">
        <v>28.091854006243398</v>
      </c>
      <c r="D537">
        <v>80.6473246618107</v>
      </c>
      <c r="E537">
        <f t="shared" si="16"/>
        <v>919.15637115650907</v>
      </c>
      <c r="F537" s="34">
        <f t="shared" si="17"/>
        <v>315.28937651059158</v>
      </c>
      <c r="G537" t="str" cm="1">
        <f t="array" ref="G537">IFERROR(
  _xlfn.IFS(F537="Current City","No Direction",
    OR(F537&gt;=337.5,F537&lt;22.5),"N",
    F537&lt;67.5,"NE",
    F537&lt;112.5,"E",
    F537&lt;157.5,"SE",
    F537&lt;202.5,"S",
    F537&lt;247.5,"SW",
    F537&lt;292.5,"W",
    F537&lt;337.5,"NW"
  ), "No Direction"
)</f>
        <v>NW</v>
      </c>
    </row>
    <row r="538" spans="1:7" x14ac:dyDescent="0.2">
      <c r="A538" t="s">
        <v>1427</v>
      </c>
      <c r="B538" t="s">
        <v>1550</v>
      </c>
      <c r="C538">
        <v>24.588771610169399</v>
      </c>
      <c r="D538">
        <v>78.600823305084702</v>
      </c>
      <c r="E538">
        <f t="shared" si="16"/>
        <v>914.39478442496863</v>
      </c>
      <c r="F538" s="34">
        <f t="shared" si="17"/>
        <v>287.45123457770558</v>
      </c>
      <c r="G538" t="str" cm="1">
        <f t="array" ref="G538">IFERROR(
  _xlfn.IFS(F538="Current City","No Direction",
    OR(F538&gt;=337.5,F538&lt;22.5),"N",
    F538&lt;67.5,"NE",
    F538&lt;112.5,"E",
    F538&lt;157.5,"SE",
    F538&lt;202.5,"S",
    F538&lt;247.5,"SW",
    F538&lt;292.5,"W",
    F538&lt;337.5,"NW"
  ), "No Direction"
)</f>
        <v>W</v>
      </c>
    </row>
    <row r="539" spans="1:7" x14ac:dyDescent="0.2">
      <c r="A539" t="s">
        <v>1427</v>
      </c>
      <c r="B539" t="s">
        <v>1553</v>
      </c>
      <c r="C539">
        <v>26.838233589251399</v>
      </c>
      <c r="D539">
        <v>80.897060268714</v>
      </c>
      <c r="E539">
        <f t="shared" si="16"/>
        <v>811.3075023966062</v>
      </c>
      <c r="F539" s="34">
        <f t="shared" si="17"/>
        <v>309.1843452738384</v>
      </c>
      <c r="G539" t="str" cm="1">
        <f t="array" ref="G539">IFERROR(
  _xlfn.IFS(F539="Current City","No Direction",
    OR(F539&gt;=337.5,F539&lt;22.5),"N",
    F539&lt;67.5,"NE",
    F539&lt;112.5,"E",
    F539&lt;157.5,"SE",
    F539&lt;202.5,"S",
    F539&lt;247.5,"SW",
    F539&lt;292.5,"W",
    F539&lt;337.5,"NW"
  ), "No Direction"
)</f>
        <v>NW</v>
      </c>
    </row>
    <row r="540" spans="1:7" x14ac:dyDescent="0.2">
      <c r="A540" t="s">
        <v>1427</v>
      </c>
      <c r="B540" t="s">
        <v>1556</v>
      </c>
      <c r="C540">
        <v>27.177099107142801</v>
      </c>
      <c r="D540">
        <v>83.461278571428593</v>
      </c>
      <c r="E540">
        <f t="shared" si="16"/>
        <v>657.44901263918348</v>
      </c>
      <c r="F540" s="34">
        <f t="shared" si="17"/>
        <v>325.40391790476633</v>
      </c>
      <c r="G540" t="str" cm="1">
        <f t="array" ref="G540">IFERROR(
  _xlfn.IFS(F540="Current City","No Direction",
    OR(F540&gt;=337.5,F540&lt;22.5),"N",
    F540&lt;67.5,"NE",
    F540&lt;112.5,"E",
    F540&lt;157.5,"SE",
    F540&lt;202.5,"S",
    F540&lt;247.5,"SW",
    F540&lt;292.5,"W",
    F540&lt;337.5,"NW"
  ), "No Direction"
)</f>
        <v>NW</v>
      </c>
    </row>
    <row r="541" spans="1:7" x14ac:dyDescent="0.2">
      <c r="A541" t="s">
        <v>1427</v>
      </c>
      <c r="B541" t="s">
        <v>1559</v>
      </c>
      <c r="C541">
        <v>25.345296701388801</v>
      </c>
      <c r="D541">
        <v>79.678630034722104</v>
      </c>
      <c r="E541">
        <f t="shared" si="16"/>
        <v>836.75190544990642</v>
      </c>
      <c r="F541" s="34">
        <f t="shared" si="17"/>
        <v>294.90553435264036</v>
      </c>
      <c r="G541" t="str" cm="1">
        <f t="array" ref="G541">IFERROR(
  _xlfn.IFS(F541="Current City","No Direction",
    OR(F541&gt;=337.5,F541&lt;22.5),"N",
    F541&lt;67.5,"NE",
    F541&lt;112.5,"E",
    F541&lt;157.5,"SE",
    F541&lt;202.5,"S",
    F541&lt;247.5,"SW",
    F541&lt;292.5,"W",
    F541&lt;337.5,"NW"
  ), "No Direction"
)</f>
        <v>NW</v>
      </c>
    </row>
    <row r="542" spans="1:7" x14ac:dyDescent="0.2">
      <c r="A542" t="s">
        <v>1427</v>
      </c>
      <c r="B542" t="s">
        <v>1562</v>
      </c>
      <c r="C542">
        <v>27.173868623024799</v>
      </c>
      <c r="D542">
        <v>79.035018510157997</v>
      </c>
      <c r="E542">
        <f t="shared" si="16"/>
        <v>985.43946302508903</v>
      </c>
      <c r="F542" s="34">
        <f t="shared" si="17"/>
        <v>304.59181526145852</v>
      </c>
      <c r="G542" t="str" cm="1">
        <f t="array" ref="G542">IFERROR(
  _xlfn.IFS(F542="Current City","No Direction",
    OR(F542&gt;=337.5,F542&lt;22.5),"N",
    F542&lt;67.5,"NE",
    F542&lt;112.5,"E",
    F542&lt;157.5,"SE",
    F542&lt;202.5,"S",
    F542&lt;247.5,"SW",
    F542&lt;292.5,"W",
    F542&lt;337.5,"NW"
  ), "No Direction"
)</f>
        <v>NW</v>
      </c>
    </row>
    <row r="543" spans="1:7" x14ac:dyDescent="0.2">
      <c r="A543" t="s">
        <v>1427</v>
      </c>
      <c r="B543" t="s">
        <v>1565</v>
      </c>
      <c r="C543">
        <v>27.593904328018201</v>
      </c>
      <c r="D543">
        <v>77.621534168565006</v>
      </c>
      <c r="E543">
        <f t="shared" si="16"/>
        <v>1129.6490375224646</v>
      </c>
      <c r="F543" s="34">
        <f t="shared" si="17"/>
        <v>302.99031560579414</v>
      </c>
      <c r="G543" t="str" cm="1">
        <f t="array" ref="G543">IFERROR(
  _xlfn.IFS(F543="Current City","No Direction",
    OR(F543&gt;=337.5,F543&lt;22.5),"N",
    F543&lt;67.5,"NE",
    F543&lt;112.5,"E",
    F543&lt;157.5,"SE",
    F543&lt;202.5,"S",
    F543&lt;247.5,"SW",
    F543&lt;292.5,"W",
    F543&lt;337.5,"NW"
  ), "No Direction"
)</f>
        <v>NW</v>
      </c>
    </row>
    <row r="544" spans="1:7" x14ac:dyDescent="0.2">
      <c r="A544" t="s">
        <v>1427</v>
      </c>
      <c r="B544" t="s">
        <v>1568</v>
      </c>
      <c r="C544">
        <v>26.0108220379146</v>
      </c>
      <c r="D544">
        <v>83.505826540284303</v>
      </c>
      <c r="E544">
        <f t="shared" si="16"/>
        <v>554.94057707258617</v>
      </c>
      <c r="F544" s="34">
        <f t="shared" si="17"/>
        <v>317.84046718889431</v>
      </c>
      <c r="G544" t="str" cm="1">
        <f t="array" ref="G544">IFERROR(
  _xlfn.IFS(F544="Current City","No Direction",
    OR(F544&gt;=337.5,F544&lt;22.5),"N",
    F544&lt;67.5,"NE",
    F544&lt;112.5,"E",
    F544&lt;157.5,"SE",
    F544&lt;202.5,"S",
    F544&lt;247.5,"SW",
    F544&lt;292.5,"W",
    F544&lt;337.5,"NW"
  ), "No Direction"
)</f>
        <v>NW</v>
      </c>
    </row>
    <row r="545" spans="1:7" x14ac:dyDescent="0.2">
      <c r="A545" t="s">
        <v>1427</v>
      </c>
      <c r="B545" t="s">
        <v>1571</v>
      </c>
      <c r="C545">
        <v>29.029576256983201</v>
      </c>
      <c r="D545">
        <v>77.806110055865901</v>
      </c>
      <c r="E545">
        <f t="shared" si="16"/>
        <v>1200.2635671552316</v>
      </c>
      <c r="F545" s="34">
        <f t="shared" si="17"/>
        <v>310.13520670852535</v>
      </c>
      <c r="G545" t="str" cm="1">
        <f t="array" ref="G545">IFERROR(
  _xlfn.IFS(F545="Current City","No Direction",
    OR(F545&gt;=337.5,F545&lt;22.5),"N",
    F545&lt;67.5,"NE",
    F545&lt;112.5,"E",
    F545&lt;157.5,"SE",
    F545&lt;202.5,"S",
    F545&lt;247.5,"SW",
    F545&lt;292.5,"W",
    F545&lt;337.5,"NW"
  ), "No Direction"
)</f>
        <v>NW</v>
      </c>
    </row>
    <row r="546" spans="1:7" x14ac:dyDescent="0.2">
      <c r="A546" t="s">
        <v>1427</v>
      </c>
      <c r="B546" t="s">
        <v>1574</v>
      </c>
      <c r="C546">
        <v>25.102079591836699</v>
      </c>
      <c r="D546">
        <v>82.601266285714203</v>
      </c>
      <c r="E546">
        <f t="shared" si="16"/>
        <v>561.54757629465632</v>
      </c>
      <c r="F546" s="34">
        <f t="shared" si="17"/>
        <v>303.86560247715619</v>
      </c>
      <c r="G546" t="str" cm="1">
        <f t="array" ref="G546">IFERROR(
  _xlfn.IFS(F546="Current City","No Direction",
    OR(F546&gt;=337.5,F546&lt;22.5),"N",
    F546&lt;67.5,"NE",
    F546&lt;112.5,"E",
    F546&lt;157.5,"SE",
    F546&lt;202.5,"S",
    F546&lt;247.5,"SW",
    F546&lt;292.5,"W",
    F546&lt;337.5,"NW"
  ), "No Direction"
)</f>
        <v>NW</v>
      </c>
    </row>
    <row r="547" spans="1:7" x14ac:dyDescent="0.2">
      <c r="A547" t="s">
        <v>1427</v>
      </c>
      <c r="B547" t="s">
        <v>1577</v>
      </c>
      <c r="C547">
        <v>28.851770406189502</v>
      </c>
      <c r="D547">
        <v>78.735801934235894</v>
      </c>
      <c r="E547">
        <f t="shared" si="16"/>
        <v>1116.2472849265996</v>
      </c>
      <c r="F547" s="34">
        <f t="shared" si="17"/>
        <v>312.07355453013241</v>
      </c>
      <c r="G547" t="str" cm="1">
        <f t="array" ref="G547">IFERROR(
  _xlfn.IFS(F547="Current City","No Direction",
    OR(F547&gt;=337.5,F547&lt;22.5),"N",
    F547&lt;67.5,"NE",
    F547&lt;112.5,"E",
    F547&lt;157.5,"SE",
    F547&lt;202.5,"S",
    F547&lt;247.5,"SW",
    F547&lt;292.5,"W",
    F547&lt;337.5,"NW"
  ), "No Direction"
)</f>
        <v>NW</v>
      </c>
    </row>
    <row r="548" spans="1:7" x14ac:dyDescent="0.2">
      <c r="A548" t="s">
        <v>1427</v>
      </c>
      <c r="B548" t="s">
        <v>1580</v>
      </c>
      <c r="C548">
        <v>29.470507977736499</v>
      </c>
      <c r="D548">
        <v>77.640178478664197</v>
      </c>
      <c r="E548">
        <f t="shared" si="16"/>
        <v>1242.4658711757418</v>
      </c>
      <c r="F548" s="34">
        <f t="shared" si="17"/>
        <v>311.5372067553543</v>
      </c>
      <c r="G548" t="str" cm="1">
        <f t="array" ref="G548">IFERROR(
  _xlfn.IFS(F548="Current City","No Direction",
    OR(F548&gt;=337.5,F548&lt;22.5),"N",
    F548&lt;67.5,"NE",
    F548&lt;112.5,"E",
    F548&lt;157.5,"SE",
    F548&lt;202.5,"S",
    F548&lt;247.5,"SW",
    F548&lt;292.5,"W",
    F548&lt;337.5,"NW"
  ), "No Direction"
)</f>
        <v>NW</v>
      </c>
    </row>
    <row r="549" spans="1:7" x14ac:dyDescent="0.2">
      <c r="A549" t="s">
        <v>1427</v>
      </c>
      <c r="B549" t="s">
        <v>1583</v>
      </c>
      <c r="C549">
        <v>28.520241750358601</v>
      </c>
      <c r="D549">
        <v>79.901039741750296</v>
      </c>
      <c r="E549">
        <f t="shared" si="16"/>
        <v>1005.3482304550338</v>
      </c>
      <c r="F549" s="34">
        <f t="shared" si="17"/>
        <v>314.49159031418321</v>
      </c>
      <c r="G549" t="str" cm="1">
        <f t="array" ref="G549">IFERROR(
  _xlfn.IFS(F549="Current City","No Direction",
    OR(F549&gt;=337.5,F549&lt;22.5),"N",
    F549&lt;67.5,"NE",
    F549&lt;112.5,"E",
    F549&lt;157.5,"SE",
    F549&lt;202.5,"S",
    F549&lt;247.5,"SW",
    F549&lt;292.5,"W",
    F549&lt;337.5,"NW"
  ), "No Direction"
)</f>
        <v>NW</v>
      </c>
    </row>
    <row r="550" spans="1:7" x14ac:dyDescent="0.2">
      <c r="A550" t="s">
        <v>1427</v>
      </c>
      <c r="B550" t="s">
        <v>1586</v>
      </c>
      <c r="C550">
        <v>25.864842731707299</v>
      </c>
      <c r="D550">
        <v>81.935300487804895</v>
      </c>
      <c r="E550">
        <f t="shared" si="16"/>
        <v>664.10694513148246</v>
      </c>
      <c r="F550" s="34">
        <f t="shared" si="17"/>
        <v>307.0438285687141</v>
      </c>
      <c r="G550" t="str" cm="1">
        <f t="array" ref="G550">IFERROR(
  _xlfn.IFS(F550="Current City","No Direction",
    OR(F550&gt;=337.5,F550&lt;22.5),"N",
    F550&lt;67.5,"NE",
    F550&lt;112.5,"E",
    F550&lt;157.5,"SE",
    F550&lt;202.5,"S",
    F550&lt;247.5,"SW",
    F550&lt;292.5,"W",
    F550&lt;337.5,"NW"
  ), "No Direction"
)</f>
        <v>NW</v>
      </c>
    </row>
    <row r="551" spans="1:7" x14ac:dyDescent="0.2">
      <c r="A551" t="s">
        <v>1427</v>
      </c>
      <c r="B551" t="s">
        <v>1589</v>
      </c>
      <c r="C551">
        <v>26.253902840059698</v>
      </c>
      <c r="D551">
        <v>81.222604633781799</v>
      </c>
      <c r="E551">
        <f t="shared" si="16"/>
        <v>747.27912333593099</v>
      </c>
      <c r="F551" s="34">
        <f t="shared" si="17"/>
        <v>306.66013906116603</v>
      </c>
      <c r="G551" t="str" cm="1">
        <f t="array" ref="G551">IFERROR(
  _xlfn.IFS(F551="Current City","No Direction",
    OR(F551&gt;=337.5,F551&lt;22.5),"N",
    F551&lt;67.5,"NE",
    F551&lt;112.5,"E",
    F551&lt;157.5,"SE",
    F551&lt;202.5,"S",
    F551&lt;247.5,"SW",
    F551&lt;292.5,"W",
    F551&lt;337.5,"NW"
  ), "No Direction"
)</f>
        <v>NW</v>
      </c>
    </row>
    <row r="552" spans="1:7" x14ac:dyDescent="0.2">
      <c r="A552" t="s">
        <v>1427</v>
      </c>
      <c r="B552" t="s">
        <v>1592</v>
      </c>
      <c r="C552">
        <v>28.832447272727201</v>
      </c>
      <c r="D552">
        <v>79.109773333333294</v>
      </c>
      <c r="E552">
        <f t="shared" si="16"/>
        <v>1086.5966556504666</v>
      </c>
      <c r="F552" s="34">
        <f t="shared" si="17"/>
        <v>313.18547904071011</v>
      </c>
      <c r="G552" t="str" cm="1">
        <f t="array" ref="G552">IFERROR(
  _xlfn.IFS(F552="Current City","No Direction",
    OR(F552&gt;=337.5,F552&lt;22.5),"N",
    F552&lt;67.5,"NE",
    F552&lt;112.5,"E",
    F552&lt;157.5,"SE",
    F552&lt;202.5,"S",
    F552&lt;247.5,"SW",
    F552&lt;292.5,"W",
    F552&lt;337.5,"NW"
  ), "No Direction"
)</f>
        <v>NW</v>
      </c>
    </row>
    <row r="553" spans="1:7" x14ac:dyDescent="0.2">
      <c r="A553" t="s">
        <v>1427</v>
      </c>
      <c r="B553" t="s">
        <v>1595</v>
      </c>
      <c r="C553">
        <v>30.033811652173899</v>
      </c>
      <c r="D553">
        <v>77.599051478260904</v>
      </c>
      <c r="E553">
        <f t="shared" si="16"/>
        <v>1284.4614554197158</v>
      </c>
      <c r="F553" s="34">
        <f t="shared" si="17"/>
        <v>313.66666799387315</v>
      </c>
      <c r="G553" t="str" cm="1">
        <f t="array" ref="G553">IFERROR(
  _xlfn.IFS(F553="Current City","No Direction",
    OR(F553&gt;=337.5,F553&lt;22.5),"N",
    F553&lt;67.5,"NE",
    F553&lt;112.5,"E",
    F553&lt;157.5,"SE",
    F553&lt;202.5,"S",
    F553&lt;247.5,"SW",
    F553&lt;292.5,"W",
    F553&lt;337.5,"NW"
  ), "No Direction"
)</f>
        <v>NW</v>
      </c>
    </row>
    <row r="554" spans="1:7" x14ac:dyDescent="0.2">
      <c r="A554" t="s">
        <v>1427</v>
      </c>
      <c r="B554" t="s">
        <v>1598</v>
      </c>
      <c r="C554">
        <v>26.791596516393401</v>
      </c>
      <c r="D554">
        <v>83.038776434426197</v>
      </c>
      <c r="E554">
        <f t="shared" si="16"/>
        <v>650.34189823975566</v>
      </c>
      <c r="F554" s="34">
        <f t="shared" si="17"/>
        <v>320.17978727846042</v>
      </c>
      <c r="G554" t="str" cm="1">
        <f t="array" ref="G554">IFERROR(
  _xlfn.IFS(F554="Current City","No Direction",
    OR(F554&gt;=337.5,F554&lt;22.5),"N",
    F554&lt;67.5,"NE",
    F554&lt;112.5,"E",
    F554&lt;157.5,"SE",
    F554&lt;202.5,"S",
    F554&lt;247.5,"SW",
    F554&lt;292.5,"W",
    F554&lt;337.5,"NW"
  ), "No Direction"
)</f>
        <v>NW</v>
      </c>
    </row>
    <row r="555" spans="1:7" x14ac:dyDescent="0.2">
      <c r="A555" t="s">
        <v>1427</v>
      </c>
      <c r="B555" t="s">
        <v>1600</v>
      </c>
      <c r="C555">
        <v>25.3645787430684</v>
      </c>
      <c r="D555">
        <v>82.434949907578499</v>
      </c>
      <c r="E555">
        <f t="shared" si="16"/>
        <v>591.40592811314878</v>
      </c>
      <c r="F555" s="34">
        <f t="shared" si="17"/>
        <v>305.40898703716277</v>
      </c>
      <c r="G555" t="str" cm="1">
        <f t="array" ref="G555">IFERROR(
  _xlfn.IFS(F555="Current City","No Direction",
    OR(F555&gt;=337.5,F555&lt;22.5),"N",
    F555&lt;67.5,"NE",
    F555&lt;112.5,"E",
    F555&lt;157.5,"SE",
    F555&lt;202.5,"S",
    F555&lt;247.5,"SW",
    F555&lt;292.5,"W",
    F555&lt;337.5,"NW"
  ), "No Direction"
)</f>
        <v>NW</v>
      </c>
    </row>
    <row r="556" spans="1:7" x14ac:dyDescent="0.2">
      <c r="A556" t="s">
        <v>1427</v>
      </c>
      <c r="B556" t="s">
        <v>1603</v>
      </c>
      <c r="C556">
        <v>27.9913893506493</v>
      </c>
      <c r="D556">
        <v>79.830227532467504</v>
      </c>
      <c r="E556">
        <f t="shared" si="16"/>
        <v>972.94305332241231</v>
      </c>
      <c r="F556" s="34">
        <f t="shared" si="17"/>
        <v>311.60864914154024</v>
      </c>
      <c r="G556" t="str" cm="1">
        <f t="array" ref="G556">IFERROR(
  _xlfn.IFS(F556="Current City","No Direction",
    OR(F556&gt;=337.5,F556&lt;22.5),"N",
    F556&lt;67.5,"NE",
    F556&lt;112.5,"E",
    F556&lt;157.5,"SE",
    F556&lt;202.5,"S",
    F556&lt;247.5,"SW",
    F556&lt;292.5,"W",
    F556&lt;337.5,"NW"
  ), "No Direction"
)</f>
        <v>NW</v>
      </c>
    </row>
    <row r="557" spans="1:7" x14ac:dyDescent="0.2">
      <c r="A557" t="s">
        <v>1427</v>
      </c>
      <c r="B557" t="s">
        <v>1605</v>
      </c>
      <c r="C557">
        <v>27.604917877094898</v>
      </c>
      <c r="D557">
        <v>81.793197765363104</v>
      </c>
      <c r="E557">
        <f t="shared" si="16"/>
        <v>800.50936953231405</v>
      </c>
      <c r="F557" s="34">
        <f t="shared" si="17"/>
        <v>317.92418338321045</v>
      </c>
      <c r="G557" t="str" cm="1">
        <f t="array" ref="G557">IFERROR(
  _xlfn.IFS(F557="Current City","No Direction",
    OR(F557&gt;=337.5,F557&lt;22.5),"N",
    F557&lt;67.5,"NE",
    F557&lt;112.5,"E",
    F557&lt;157.5,"SE",
    F557&lt;202.5,"S",
    F557&lt;247.5,"SW",
    F557&lt;292.5,"W",
    F557&lt;337.5,"NW"
  ), "No Direction"
)</f>
        <v>NW</v>
      </c>
    </row>
    <row r="558" spans="1:7" x14ac:dyDescent="0.2">
      <c r="A558" t="s">
        <v>1427</v>
      </c>
      <c r="B558" t="s">
        <v>1608</v>
      </c>
      <c r="C558">
        <v>27.207384839203701</v>
      </c>
      <c r="D558">
        <v>82.786649923430303</v>
      </c>
      <c r="E558">
        <f t="shared" si="16"/>
        <v>701.59798940212272</v>
      </c>
      <c r="F558" s="34">
        <f t="shared" si="17"/>
        <v>321.16474370855371</v>
      </c>
      <c r="G558" t="str" cm="1">
        <f t="array" ref="G558">IFERROR(
  _xlfn.IFS(F558="Current City","No Direction",
    OR(F558&gt;=337.5,F558&lt;22.5),"N",
    F558&lt;67.5,"NE",
    F558&lt;112.5,"E",
    F558&lt;157.5,"SE",
    F558&lt;202.5,"S",
    F558&lt;247.5,"SW",
    F558&lt;292.5,"W",
    F558&lt;337.5,"NW"
  ), "No Direction"
)</f>
        <v>NW</v>
      </c>
    </row>
    <row r="559" spans="1:7" x14ac:dyDescent="0.2">
      <c r="A559" t="s">
        <v>1427</v>
      </c>
      <c r="B559" t="s">
        <v>1611</v>
      </c>
      <c r="C559">
        <v>27.501995963091101</v>
      </c>
      <c r="D559">
        <v>80.852888811995399</v>
      </c>
      <c r="E559">
        <f t="shared" si="16"/>
        <v>860.61541125770214</v>
      </c>
      <c r="F559" s="34">
        <f t="shared" si="17"/>
        <v>312.97356377222667</v>
      </c>
      <c r="G559" t="str" cm="1">
        <f t="array" ref="G559">IFERROR(
  _xlfn.IFS(F559="Current City","No Direction",
    OR(F559&gt;=337.5,F559&lt;22.5),"N",
    F559&lt;67.5,"NE",
    F559&lt;112.5,"E",
    F559&lt;157.5,"SE",
    F559&lt;202.5,"S",
    F559&lt;247.5,"SW",
    F559&lt;292.5,"W",
    F559&lt;337.5,"NW"
  ), "No Direction"
)</f>
        <v>NW</v>
      </c>
    </row>
    <row r="560" spans="1:7" x14ac:dyDescent="0.2">
      <c r="A560" t="s">
        <v>1427</v>
      </c>
      <c r="B560" t="s">
        <v>1614</v>
      </c>
      <c r="C560">
        <v>24.466932688587899</v>
      </c>
      <c r="D560">
        <v>83.068163249516303</v>
      </c>
      <c r="E560">
        <f t="shared" si="16"/>
        <v>485.33405207274569</v>
      </c>
      <c r="F560" s="34">
        <f t="shared" si="17"/>
        <v>299.75209571900263</v>
      </c>
      <c r="G560" t="str" cm="1">
        <f t="array" ref="G560">IFERROR(
  _xlfn.IFS(F560="Current City","No Direction",
    OR(F560&gt;=337.5,F560&lt;22.5),"N",
    F560&lt;67.5,"NE",
    F560&lt;112.5,"E",
    F560&lt;157.5,"SE",
    F560&lt;202.5,"S",
    F560&lt;247.5,"SW",
    F560&lt;292.5,"W",
    F560&lt;337.5,"NW"
  ), "No Direction"
)</f>
        <v>NW</v>
      </c>
    </row>
    <row r="561" spans="1:7" x14ac:dyDescent="0.2">
      <c r="A561" t="s">
        <v>1427</v>
      </c>
      <c r="B561" t="s">
        <v>1617</v>
      </c>
      <c r="C561">
        <v>26.284638641975299</v>
      </c>
      <c r="D561">
        <v>82.057104567901206</v>
      </c>
      <c r="E561">
        <f t="shared" si="16"/>
        <v>682.33678746966871</v>
      </c>
      <c r="F561" s="34">
        <f t="shared" si="17"/>
        <v>310.85292025241341</v>
      </c>
      <c r="G561" t="str" cm="1">
        <f t="array" ref="G561">IFERROR(
  _xlfn.IFS(F561="Current City","No Direction",
    OR(F561&gt;=337.5,F561&lt;22.5),"N",
    F561&lt;67.5,"NE",
    F561&lt;112.5,"E",
    F561&lt;157.5,"SE",
    F561&lt;202.5,"S",
    F561&lt;247.5,"SW",
    F561&lt;292.5,"W",
    F561&lt;337.5,"NW"
  ), "No Direction"
)</f>
        <v>NW</v>
      </c>
    </row>
    <row r="562" spans="1:7" x14ac:dyDescent="0.2">
      <c r="A562" t="s">
        <v>1427</v>
      </c>
      <c r="B562" t="s">
        <v>1619</v>
      </c>
      <c r="C562">
        <v>26.631639908952899</v>
      </c>
      <c r="D562">
        <v>80.636773292868</v>
      </c>
      <c r="E562">
        <f t="shared" si="16"/>
        <v>819.12594947802245</v>
      </c>
      <c r="F562" s="34">
        <f t="shared" si="17"/>
        <v>306.81013746421246</v>
      </c>
      <c r="G562" t="str" cm="1">
        <f t="array" ref="G562">IFERROR(
  _xlfn.IFS(F562="Current City","No Direction",
    OR(F562&gt;=337.5,F562&lt;22.5),"N",
    F562&lt;67.5,"NE",
    F562&lt;112.5,"E",
    F562&lt;157.5,"SE",
    F562&lt;202.5,"S",
    F562&lt;247.5,"SW",
    F562&lt;292.5,"W",
    F562&lt;337.5,"NW"
  ), "No Direction"
)</f>
        <v>NW</v>
      </c>
    </row>
    <row r="563" spans="1:7" x14ac:dyDescent="0.2">
      <c r="A563" t="s">
        <v>1427</v>
      </c>
      <c r="B563" t="s">
        <v>1621</v>
      </c>
      <c r="C563">
        <v>25.360570888888802</v>
      </c>
      <c r="D563">
        <v>82.825296666666702</v>
      </c>
      <c r="E563">
        <f t="shared" si="16"/>
        <v>558.87810982414999</v>
      </c>
      <c r="F563" s="34">
        <f t="shared" si="17"/>
        <v>307.59650391252302</v>
      </c>
      <c r="G563" t="str" cm="1">
        <f t="array" ref="G563">IFERROR(
  _xlfn.IFS(F563="Current City","No Direction",
    OR(F563&gt;=337.5,F563&lt;22.5),"N",
    F563&lt;67.5,"NE",
    F563&lt;112.5,"E",
    F563&lt;157.5,"SE",
    F563&lt;202.5,"S",
    F563&lt;247.5,"SW",
    F563&lt;292.5,"W",
    F563&lt;337.5,"NW"
  ), "No Direction"
)</f>
        <v>NW</v>
      </c>
    </row>
    <row r="564" spans="1:7" x14ac:dyDescent="0.2">
      <c r="A564" t="s">
        <v>1624</v>
      </c>
      <c r="B564" t="s">
        <v>1625</v>
      </c>
      <c r="C564">
        <v>29.683532133676099</v>
      </c>
      <c r="D564">
        <v>79.501650642673496</v>
      </c>
      <c r="E564">
        <f t="shared" si="16"/>
        <v>1122.0684505600718</v>
      </c>
      <c r="F564" s="34">
        <f t="shared" si="17"/>
        <v>318.17353261174907</v>
      </c>
      <c r="G564" t="str" cm="1">
        <f t="array" ref="G564">IFERROR(
  _xlfn.IFS(F564="Current City","No Direction",
    OR(F564&gt;=337.5,F564&lt;22.5),"N",
    F564&lt;67.5,"NE",
    F564&lt;112.5,"E",
    F564&lt;157.5,"SE",
    F564&lt;202.5,"S",
    F564&lt;247.5,"SW",
    F564&lt;292.5,"W",
    F564&lt;337.5,"NW"
  ), "No Direction"
)</f>
        <v>NW</v>
      </c>
    </row>
    <row r="565" spans="1:7" x14ac:dyDescent="0.2">
      <c r="A565" t="s">
        <v>1624</v>
      </c>
      <c r="B565" t="s">
        <v>1628</v>
      </c>
      <c r="C565">
        <v>29.987033933933901</v>
      </c>
      <c r="D565">
        <v>79.839543543543499</v>
      </c>
      <c r="E565">
        <f t="shared" si="16"/>
        <v>1123.736959400454</v>
      </c>
      <c r="F565" s="34">
        <f t="shared" si="17"/>
        <v>320.57852395567306</v>
      </c>
      <c r="G565" t="str" cm="1">
        <f t="array" ref="G565">IFERROR(
  _xlfn.IFS(F565="Current City","No Direction",
    OR(F565&gt;=337.5,F565&lt;22.5),"N",
    F565&lt;67.5,"NE",
    F565&lt;112.5,"E",
    F565&lt;157.5,"SE",
    F565&lt;202.5,"S",
    F565&lt;247.5,"SW",
    F565&lt;292.5,"W",
    F565&lt;337.5,"NW"
  ), "No Direction"
)</f>
        <v>NW</v>
      </c>
    </row>
    <row r="566" spans="1:7" x14ac:dyDescent="0.2">
      <c r="A566" t="s">
        <v>1624</v>
      </c>
      <c r="B566" t="s">
        <v>1631</v>
      </c>
      <c r="C566">
        <v>30.583386114649599</v>
      </c>
      <c r="D566">
        <v>79.562810955413994</v>
      </c>
      <c r="E566">
        <f t="shared" si="16"/>
        <v>1190.7328947975193</v>
      </c>
      <c r="F566" s="34">
        <f t="shared" si="17"/>
        <v>321.81345112658403</v>
      </c>
      <c r="G566" t="str" cm="1">
        <f t="array" ref="G566">IFERROR(
  _xlfn.IFS(F566="Current City","No Direction",
    OR(F566&gt;=337.5,F566&lt;22.5),"N",
    F566&lt;67.5,"NE",
    F566&lt;112.5,"E",
    F566&lt;157.5,"SE",
    F566&lt;202.5,"S",
    F566&lt;247.5,"SW",
    F566&lt;292.5,"W",
    F566&lt;337.5,"NW"
  ), "No Direction"
)</f>
        <v>NW</v>
      </c>
    </row>
    <row r="567" spans="1:7" x14ac:dyDescent="0.2">
      <c r="A567" t="s">
        <v>1624</v>
      </c>
      <c r="B567" t="s">
        <v>1634</v>
      </c>
      <c r="C567">
        <v>29.291423939393901</v>
      </c>
      <c r="D567">
        <v>80.077202121212096</v>
      </c>
      <c r="E567">
        <f t="shared" si="16"/>
        <v>1051.8676241514293</v>
      </c>
      <c r="F567" s="34">
        <f t="shared" si="17"/>
        <v>318.6362151294739</v>
      </c>
      <c r="G567" t="str" cm="1">
        <f t="array" ref="G567">IFERROR(
  _xlfn.IFS(F567="Current City","No Direction",
    OR(F567&gt;=337.5,F567&lt;22.5),"N",
    F567&lt;67.5,"NE",
    F567&lt;112.5,"E",
    F567&lt;157.5,"SE",
    F567&lt;202.5,"S",
    F567&lt;247.5,"SW",
    F567&lt;292.5,"W",
    F567&lt;337.5,"NW"
  ), "No Direction"
)</f>
        <v>NW</v>
      </c>
    </row>
    <row r="568" spans="1:7" x14ac:dyDescent="0.2">
      <c r="A568" t="s">
        <v>1624</v>
      </c>
      <c r="B568" t="s">
        <v>1637</v>
      </c>
      <c r="C568">
        <v>30.533333414932699</v>
      </c>
      <c r="D568">
        <v>77.908841248469997</v>
      </c>
      <c r="E568">
        <f t="shared" si="16"/>
        <v>1298.2632798720481</v>
      </c>
      <c r="F568" s="34">
        <f t="shared" si="17"/>
        <v>316.41340090814003</v>
      </c>
      <c r="G568" t="str" cm="1">
        <f t="array" ref="G568">IFERROR(
  _xlfn.IFS(F568="Current City","No Direction",
    OR(F568&gt;=337.5,F568&lt;22.5),"N",
    F568&lt;67.5,"NE",
    F568&lt;112.5,"E",
    F568&lt;157.5,"SE",
    F568&lt;202.5,"S",
    F568&lt;247.5,"SW",
    F568&lt;292.5,"W",
    F568&lt;337.5,"NW"
  ), "No Direction"
)</f>
        <v>NW</v>
      </c>
    </row>
    <row r="569" spans="1:7" x14ac:dyDescent="0.2">
      <c r="A569" t="s">
        <v>1624</v>
      </c>
      <c r="B569" t="s">
        <v>1639</v>
      </c>
      <c r="C569">
        <v>29.886057657657599</v>
      </c>
      <c r="D569">
        <v>77.929800675675693</v>
      </c>
      <c r="E569">
        <f t="shared" si="16"/>
        <v>1249.4446114212367</v>
      </c>
      <c r="F569" s="34">
        <f t="shared" si="17"/>
        <v>314.0164025819472</v>
      </c>
      <c r="G569" t="str" cm="1">
        <f t="array" ref="G569">IFERROR(
  _xlfn.IFS(F569="Current City","No Direction",
    OR(F569&gt;=337.5,F569&lt;22.5),"N",
    F569&lt;67.5,"NE",
    F569&lt;112.5,"E",
    F569&lt;157.5,"SE",
    F569&lt;202.5,"S",
    F569&lt;247.5,"SW",
    F569&lt;292.5,"W",
    F569&lt;337.5,"NW"
  ), "No Direction"
)</f>
        <v>NW</v>
      </c>
    </row>
    <row r="570" spans="1:7" x14ac:dyDescent="0.2">
      <c r="A570" t="s">
        <v>1624</v>
      </c>
      <c r="B570" t="s">
        <v>1642</v>
      </c>
      <c r="C570">
        <v>29.336370528967201</v>
      </c>
      <c r="D570">
        <v>79.499791183879097</v>
      </c>
      <c r="E570">
        <f t="shared" si="16"/>
        <v>1095.3516681784699</v>
      </c>
      <c r="F570" s="34">
        <f t="shared" si="17"/>
        <v>316.72614064185717</v>
      </c>
      <c r="G570" t="str" cm="1">
        <f t="array" ref="G570">IFERROR(
  _xlfn.IFS(F570="Current City","No Direction",
    OR(F570&gt;=337.5,F570&lt;22.5),"N",
    F570&lt;67.5,"NE",
    F570&lt;112.5,"E",
    F570&lt;157.5,"SE",
    F570&lt;202.5,"S",
    F570&lt;247.5,"SW",
    F570&lt;292.5,"W",
    F570&lt;337.5,"NW"
  ), "No Direction"
)</f>
        <v>NW</v>
      </c>
    </row>
    <row r="571" spans="1:7" x14ac:dyDescent="0.2">
      <c r="A571" t="s">
        <v>1624</v>
      </c>
      <c r="B571" t="s">
        <v>1644</v>
      </c>
      <c r="C571">
        <v>29.978067551020398</v>
      </c>
      <c r="D571">
        <v>78.774501632653099</v>
      </c>
      <c r="E571">
        <f t="shared" si="16"/>
        <v>1195.2892398113133</v>
      </c>
      <c r="F571" s="34">
        <f t="shared" si="17"/>
        <v>316.92369934068341</v>
      </c>
      <c r="G571" t="str" cm="1">
        <f t="array" ref="G571">IFERROR(
  _xlfn.IFS(F571="Current City","No Direction",
    OR(F571&gt;=337.5,F571&lt;22.5),"N",
    F571&lt;67.5,"NE",
    F571&lt;112.5,"E",
    F571&lt;157.5,"SE",
    F571&lt;202.5,"S",
    F571&lt;247.5,"SW",
    F571&lt;292.5,"W",
    F571&lt;337.5,"NW"
  ), "No Direction"
)</f>
        <v>NW</v>
      </c>
    </row>
    <row r="572" spans="1:7" x14ac:dyDescent="0.2">
      <c r="A572" t="s">
        <v>1624</v>
      </c>
      <c r="B572" t="s">
        <v>1647</v>
      </c>
      <c r="C572">
        <v>30.147206318681199</v>
      </c>
      <c r="D572">
        <v>80.342292307692304</v>
      </c>
      <c r="E572">
        <f t="shared" si="16"/>
        <v>1105.1455085372934</v>
      </c>
      <c r="F572" s="34">
        <f t="shared" si="17"/>
        <v>323.06364992791515</v>
      </c>
      <c r="G572" t="str" cm="1">
        <f t="array" ref="G572">IFERROR(
  _xlfn.IFS(F572="Current City","No Direction",
    OR(F572&gt;=337.5,F572&lt;22.5),"N",
    F572&lt;67.5,"NE",
    F572&lt;112.5,"E",
    F572&lt;157.5,"SE",
    F572&lt;202.5,"S",
    F572&lt;247.5,"SW",
    F572&lt;292.5,"W",
    F572&lt;337.5,"NW"
  ), "No Direction"
)</f>
        <v>NW</v>
      </c>
    </row>
    <row r="573" spans="1:7" x14ac:dyDescent="0.2">
      <c r="A573" t="s">
        <v>1624</v>
      </c>
      <c r="B573" t="s">
        <v>1650</v>
      </c>
      <c r="C573">
        <v>30.5565775590551</v>
      </c>
      <c r="D573">
        <v>79.094220472440895</v>
      </c>
      <c r="E573">
        <f t="shared" si="16"/>
        <v>1218.8837632683935</v>
      </c>
      <c r="F573" s="34">
        <f t="shared" si="17"/>
        <v>320.13607537307814</v>
      </c>
      <c r="G573" t="str" cm="1">
        <f t="array" ref="G573">IFERROR(
  _xlfn.IFS(F573="Current City","No Direction",
    OR(F573&gt;=337.5,F573&lt;22.5),"N",
    F573&lt;67.5,"NE",
    F573&lt;112.5,"E",
    F573&lt;157.5,"SE",
    F573&lt;202.5,"S",
    F573&lt;247.5,"SW",
    F573&lt;292.5,"W",
    F573&lt;337.5,"NW"
  ), "No Direction"
)</f>
        <v>NW</v>
      </c>
    </row>
    <row r="574" spans="1:7" x14ac:dyDescent="0.2">
      <c r="A574" t="s">
        <v>1624</v>
      </c>
      <c r="B574" t="s">
        <v>1653</v>
      </c>
      <c r="C574">
        <v>30.463700918635102</v>
      </c>
      <c r="D574">
        <v>78.487837926509101</v>
      </c>
      <c r="E574">
        <f t="shared" si="16"/>
        <v>1252.4676585302132</v>
      </c>
      <c r="F574" s="34">
        <f t="shared" si="17"/>
        <v>317.87221391682721</v>
      </c>
      <c r="G574" t="str" cm="1">
        <f t="array" ref="G574">IFERROR(
  _xlfn.IFS(F574="Current City","No Direction",
    OR(F574&gt;=337.5,F574&lt;22.5),"N",
    F574&lt;67.5,"NE",
    F574&lt;112.5,"E",
    F574&lt;157.5,"SE",
    F574&lt;202.5,"S",
    F574&lt;247.5,"SW",
    F574&lt;292.5,"W",
    F574&lt;337.5,"NW"
  ), "No Direction"
)</f>
        <v>NW</v>
      </c>
    </row>
    <row r="575" spans="1:7" x14ac:dyDescent="0.2">
      <c r="A575" t="s">
        <v>1624</v>
      </c>
      <c r="B575" t="s">
        <v>1656</v>
      </c>
      <c r="C575">
        <v>29.027795776772201</v>
      </c>
      <c r="D575">
        <v>79.456290045248906</v>
      </c>
      <c r="E575">
        <f t="shared" si="16"/>
        <v>1075.2338387556367</v>
      </c>
      <c r="F575" s="34">
        <f t="shared" si="17"/>
        <v>315.23459380479079</v>
      </c>
      <c r="G575" t="str" cm="1">
        <f t="array" ref="G575">IFERROR(
  _xlfn.IFS(F575="Current City","No Direction",
    OR(F575&gt;=337.5,F575&lt;22.5),"N",
    F575&lt;67.5,"NE",
    F575&lt;112.5,"E",
    F575&lt;157.5,"SE",
    F575&lt;202.5,"S",
    F575&lt;247.5,"SW",
    F575&lt;292.5,"W",
    F575&lt;337.5,"NW"
  ), "No Direction"
)</f>
        <v>NW</v>
      </c>
    </row>
    <row r="576" spans="1:7" x14ac:dyDescent="0.2">
      <c r="A576" t="s">
        <v>1624</v>
      </c>
      <c r="B576" t="s">
        <v>1659</v>
      </c>
      <c r="C576">
        <v>30.968958552036199</v>
      </c>
      <c r="D576">
        <v>78.568806153846097</v>
      </c>
      <c r="E576">
        <f t="shared" si="16"/>
        <v>1286.7225568939352</v>
      </c>
      <c r="F576" s="34">
        <f t="shared" si="17"/>
        <v>319.92585499148288</v>
      </c>
      <c r="G576" t="str" cm="1">
        <f t="array" ref="G576">IFERROR(
  _xlfn.IFS(F576="Current City","No Direction",
    OR(F576&gt;=337.5,F576&lt;22.5),"N",
    F576&lt;67.5,"NE",
    F576&lt;112.5,"E",
    F576&lt;157.5,"SE",
    F576&lt;202.5,"S",
    F576&lt;247.5,"SW",
    F576&lt;292.5,"W",
    F576&lt;337.5,"NW"
  ), "No Direction"
)</f>
        <v>NW</v>
      </c>
    </row>
    <row r="577" spans="1:7" x14ac:dyDescent="0.2">
      <c r="A577" t="s">
        <v>1662</v>
      </c>
      <c r="B577" t="s">
        <v>1663</v>
      </c>
      <c r="C577">
        <v>23.081280892857102</v>
      </c>
      <c r="D577">
        <v>87.126400535714296</v>
      </c>
      <c r="E577">
        <f t="shared" si="16"/>
        <v>81.479804652490245</v>
      </c>
      <c r="F577" s="34">
        <f t="shared" si="17"/>
        <v>352.45291631441779</v>
      </c>
      <c r="G577" t="str" cm="1">
        <f t="array" ref="G577">IFERROR(
  _xlfn.IFS(F577="Current City","No Direction",
    OR(F577&gt;=337.5,F577&lt;22.5),"N",
    F577&lt;67.5,"NE",
    F577&lt;112.5,"E",
    F577&lt;157.5,"SE",
    F577&lt;202.5,"S",
    F577&lt;247.5,"SW",
    F577&lt;292.5,"W",
    F577&lt;337.5,"NW"
  ), "No Direction"
)</f>
        <v>N</v>
      </c>
    </row>
    <row r="578" spans="1:7" x14ac:dyDescent="0.2">
      <c r="A578" t="s">
        <v>1662</v>
      </c>
      <c r="B578" t="s">
        <v>1666</v>
      </c>
      <c r="C578">
        <v>23.444453888888798</v>
      </c>
      <c r="D578">
        <v>87.815058111111099</v>
      </c>
      <c r="E578">
        <f t="shared" ref="E578:E641" si="18">2*6371*ASIN(SQRT(
    SIN(RADIANS(C578-$M$7)/2)^2 +
    COS(RADIANS($M$7)) * COS(RADIANS(C578)) *
    SIN(RADIANS(D578-$M$8)/2)^2
))</f>
        <v>135.11805597836849</v>
      </c>
      <c r="F578" s="34">
        <f t="shared" si="17"/>
        <v>26.166664571551053</v>
      </c>
      <c r="G578" t="str" cm="1">
        <f t="array" ref="G578">IFERROR(
  _xlfn.IFS(F578="Current City","No Direction",
    OR(F578&gt;=337.5,F578&lt;22.5),"N",
    F578&lt;67.5,"NE",
    F578&lt;112.5,"E",
    F578&lt;157.5,"SE",
    F578&lt;202.5,"S",
    F578&lt;247.5,"SW",
    F578&lt;292.5,"W",
    F578&lt;337.5,"NW"
  ), "No Direction"
)</f>
        <v>NE</v>
      </c>
    </row>
    <row r="579" spans="1:7" x14ac:dyDescent="0.2">
      <c r="A579" t="s">
        <v>1662</v>
      </c>
      <c r="B579" t="s">
        <v>1668</v>
      </c>
      <c r="C579">
        <v>24.063893427229999</v>
      </c>
      <c r="D579">
        <v>87.651530892018798</v>
      </c>
      <c r="E579">
        <f t="shared" si="18"/>
        <v>194.8299475079086</v>
      </c>
      <c r="F579" s="34">
        <f t="shared" ref="F579:F595" si="19">IFERROR(MOD(DEGREES(ATAN2(COS(RADIANS($M$7))*SIN(RADIANS(C579))-SIN(RADIANS($M$7))*COS(RADIANS(C579))*COS(RADIANS(D579-$M$8)), SIN(RADIANS(D579-$M$8))*COS(RADIANS(C579))))+360, 360),"Current City")</f>
        <v>12.660559824353129</v>
      </c>
      <c r="G579" t="str" cm="1">
        <f t="array" ref="G579">IFERROR(
  _xlfn.IFS(F579="Current City","No Direction",
    OR(F579&gt;=337.5,F579&lt;22.5),"N",
    F579&lt;67.5,"NE",
    F579&lt;112.5,"E",
    F579&lt;157.5,"SE",
    F579&lt;202.5,"S",
    F579&lt;247.5,"SW",
    F579&lt;292.5,"W",
    F579&lt;337.5,"NW"
  ), "No Direction"
)</f>
        <v>N</v>
      </c>
    </row>
    <row r="580" spans="1:7" x14ac:dyDescent="0.2">
      <c r="A580" t="s">
        <v>1662</v>
      </c>
      <c r="B580" t="s">
        <v>1670</v>
      </c>
      <c r="C580">
        <v>25.342094363021399</v>
      </c>
      <c r="D580">
        <v>88.6982167981961</v>
      </c>
      <c r="E580">
        <f t="shared" si="18"/>
        <v>364.12662612669482</v>
      </c>
      <c r="F580" s="34">
        <f t="shared" si="19"/>
        <v>23.897770155183139</v>
      </c>
      <c r="G580" t="str" cm="1">
        <f t="array" ref="G580">IFERROR(
  _xlfn.IFS(F580="Current City","No Direction",
    OR(F580&gt;=337.5,F580&lt;22.5),"N",
    F580&lt;67.5,"NE",
    F580&lt;112.5,"E",
    F580&lt;157.5,"SE",
    F580&lt;202.5,"S",
    F580&lt;247.5,"SW",
    F580&lt;292.5,"W",
    F580&lt;337.5,"NW"
  ), "No Direction"
)</f>
        <v>NE</v>
      </c>
    </row>
    <row r="581" spans="1:7" x14ac:dyDescent="0.2">
      <c r="A581" t="s">
        <v>1662</v>
      </c>
      <c r="B581" t="s">
        <v>1673</v>
      </c>
      <c r="C581">
        <v>26.8396195710455</v>
      </c>
      <c r="D581">
        <v>88.331450670241196</v>
      </c>
      <c r="E581">
        <f t="shared" si="18"/>
        <v>510.92896508439316</v>
      </c>
      <c r="F581" s="34">
        <f t="shared" si="19"/>
        <v>12.351452247343843</v>
      </c>
      <c r="G581" t="str" cm="1">
        <f t="array" ref="G581">IFERROR(
  _xlfn.IFS(F581="Current City","No Direction",
    OR(F581&gt;=337.5,F581&lt;22.5),"N",
    F581&lt;67.5,"NE",
    F581&lt;112.5,"E",
    F581&lt;157.5,"SE",
    F581&lt;202.5,"S",
    F581&lt;247.5,"SW",
    F581&lt;292.5,"W",
    F581&lt;337.5,"NW"
  ), "No Direction"
)</f>
        <v>N</v>
      </c>
    </row>
    <row r="582" spans="1:7" x14ac:dyDescent="0.2">
      <c r="A582" t="s">
        <v>1662</v>
      </c>
      <c r="B582" t="s">
        <v>1676</v>
      </c>
      <c r="C582">
        <v>21.991997254809899</v>
      </c>
      <c r="D582">
        <v>87.922808259033403</v>
      </c>
      <c r="E582">
        <f t="shared" si="18"/>
        <v>81.870249038689806</v>
      </c>
      <c r="F582" s="34">
        <f t="shared" si="19"/>
        <v>119.39939841933057</v>
      </c>
      <c r="G582" t="str" cm="1">
        <f t="array" ref="G582">IFERROR(
  _xlfn.IFS(F582="Current City","No Direction",
    OR(F582&gt;=337.5,F582&lt;22.5),"N",
    F582&lt;67.5,"NE",
    F582&lt;112.5,"E",
    F582&lt;157.5,"SE",
    F582&lt;202.5,"S",
    F582&lt;247.5,"SW",
    F582&lt;292.5,"W",
    F582&lt;337.5,"NW"
  ), "No Direction"
)</f>
        <v>SE</v>
      </c>
    </row>
    <row r="583" spans="1:7" x14ac:dyDescent="0.2">
      <c r="A583" t="s">
        <v>1662</v>
      </c>
      <c r="B583" t="s">
        <v>1678</v>
      </c>
      <c r="C583">
        <v>22.4016741744285</v>
      </c>
      <c r="D583">
        <v>87.994211769686501</v>
      </c>
      <c r="E583">
        <f t="shared" si="18"/>
        <v>78.644729553144785</v>
      </c>
      <c r="F583" s="34">
        <f t="shared" si="19"/>
        <v>86.06258833486271</v>
      </c>
      <c r="G583" t="str" cm="1">
        <f t="array" ref="G583">IFERROR(
  _xlfn.IFS(F583="Current City","No Direction",
    OR(F583&gt;=337.5,F583&lt;22.5),"N",
    F583&lt;67.5,"NE",
    F583&lt;112.5,"E",
    F583&lt;157.5,"SE",
    F583&lt;202.5,"S",
    F583&lt;247.5,"SW",
    F583&lt;292.5,"W",
    F583&lt;337.5,"NW"
  ), "No Direction"
)</f>
        <v>E</v>
      </c>
    </row>
    <row r="584" spans="1:7" x14ac:dyDescent="0.2">
      <c r="A584" t="s">
        <v>1662</v>
      </c>
      <c r="B584" t="s">
        <v>1681</v>
      </c>
      <c r="C584">
        <v>22.879292647058801</v>
      </c>
      <c r="D584">
        <v>88.000102647058895</v>
      </c>
      <c r="E584">
        <f t="shared" si="18"/>
        <v>98.141848863727844</v>
      </c>
      <c r="F584" s="34">
        <f t="shared" si="19"/>
        <v>53.401339461693055</v>
      </c>
      <c r="G584" t="str" cm="1">
        <f t="array" ref="G584">IFERROR(
  _xlfn.IFS(F584="Current City","No Direction",
    OR(F584&gt;=337.5,F584&lt;22.5),"N",
    F584&lt;67.5,"NE",
    F584&lt;112.5,"E",
    F584&lt;157.5,"SE",
    F584&lt;202.5,"S",
    F584&lt;247.5,"SW",
    F584&lt;292.5,"W",
    F584&lt;337.5,"NW"
  ), "No Direction"
)</f>
        <v>NE</v>
      </c>
    </row>
    <row r="585" spans="1:7" x14ac:dyDescent="0.2">
      <c r="A585" t="s">
        <v>1662</v>
      </c>
      <c r="B585" t="s">
        <v>1684</v>
      </c>
      <c r="C585">
        <v>26.626420312499999</v>
      </c>
      <c r="D585">
        <v>89.041543750000002</v>
      </c>
      <c r="E585">
        <f t="shared" si="18"/>
        <v>509.05579476975356</v>
      </c>
      <c r="F585" s="34">
        <f t="shared" si="19"/>
        <v>20.723378471224407</v>
      </c>
      <c r="G585" t="str" cm="1">
        <f t="array" ref="G585">IFERROR(
  _xlfn.IFS(F585="Current City","No Direction",
    OR(F585&gt;=337.5,F585&lt;22.5),"N",
    F585&lt;67.5,"NE",
    F585&lt;112.5,"E",
    F585&lt;157.5,"SE",
    F585&lt;202.5,"S",
    F585&lt;247.5,"SW",
    F585&lt;292.5,"W",
    F585&lt;337.5,"NW"
  ), "No Direction"
)</f>
        <v>N</v>
      </c>
    </row>
    <row r="586" spans="1:7" x14ac:dyDescent="0.2">
      <c r="A586" t="s">
        <v>1662</v>
      </c>
      <c r="B586" t="s">
        <v>1687</v>
      </c>
      <c r="C586">
        <v>26.250516110304702</v>
      </c>
      <c r="D586">
        <v>89.3061382680214</v>
      </c>
      <c r="E586">
        <f t="shared" si="18"/>
        <v>481.49237603090967</v>
      </c>
      <c r="F586" s="34">
        <f t="shared" si="19"/>
        <v>25.475012031302924</v>
      </c>
      <c r="G586" t="str" cm="1">
        <f t="array" ref="G586">IFERROR(
  _xlfn.IFS(F586="Current City","No Direction",
    OR(F586&gt;=337.5,F586&lt;22.5),"N",
    F586&lt;67.5,"NE",
    F586&lt;112.5,"E",
    F586&lt;157.5,"SE",
    F586&lt;202.5,"S",
    F586&lt;247.5,"SW",
    F586&lt;292.5,"W",
    F586&lt;337.5,"NW"
  ), "No Direction"
)</f>
        <v>NE</v>
      </c>
    </row>
    <row r="587" spans="1:7" x14ac:dyDescent="0.2">
      <c r="A587" t="s">
        <v>1662</v>
      </c>
      <c r="B587" t="s">
        <v>1690</v>
      </c>
      <c r="C587">
        <v>22.550581481481402</v>
      </c>
      <c r="D587">
        <v>88.352764814814805</v>
      </c>
      <c r="E587">
        <f t="shared" si="18"/>
        <v>117.31280167563972</v>
      </c>
      <c r="F587" s="34">
        <f t="shared" si="19"/>
        <v>79.09705945684027</v>
      </c>
      <c r="G587" t="str" cm="1">
        <f t="array" ref="G587">IFERROR(
  _xlfn.IFS(F587="Current City","No Direction",
    OR(F587&gt;=337.5,F587&lt;22.5),"N",
    F587&lt;67.5,"NE",
    F587&lt;112.5,"E",
    F587&lt;157.5,"SE",
    F587&lt;202.5,"S",
    F587&lt;247.5,"SW",
    F587&lt;292.5,"W",
    F587&lt;337.5,"NW"
  ), "No Direction"
)</f>
        <v>E</v>
      </c>
    </row>
    <row r="588" spans="1:7" x14ac:dyDescent="0.2">
      <c r="A588" t="s">
        <v>1662</v>
      </c>
      <c r="B588" t="s">
        <v>1692</v>
      </c>
      <c r="C588">
        <v>25.080268025751</v>
      </c>
      <c r="D588">
        <v>88.171916845493499</v>
      </c>
      <c r="E588">
        <f t="shared" si="18"/>
        <v>317.82091258433383</v>
      </c>
      <c r="F588" s="34">
        <f t="shared" si="19"/>
        <v>17.353297170776273</v>
      </c>
      <c r="G588" t="str" cm="1">
        <f t="array" ref="G588">IFERROR(
  _xlfn.IFS(F588="Current City","No Direction",
    OR(F588&gt;=337.5,F588&lt;22.5),"N",
    F588&lt;67.5,"NE",
    F588&lt;112.5,"E",
    F588&lt;157.5,"SE",
    F588&lt;202.5,"S",
    F588&lt;247.5,"SW",
    F588&lt;292.5,"W",
    F588&lt;337.5,"NW"
  ), "No Direction"
)</f>
        <v>N</v>
      </c>
    </row>
    <row r="589" spans="1:7" x14ac:dyDescent="0.2">
      <c r="A589" t="s">
        <v>1662</v>
      </c>
      <c r="B589" t="s">
        <v>1695</v>
      </c>
      <c r="C589">
        <v>24.259506553911201</v>
      </c>
      <c r="D589">
        <v>88.1681686046512</v>
      </c>
      <c r="E589">
        <f t="shared" si="18"/>
        <v>232.40000075850256</v>
      </c>
      <c r="F589" s="34">
        <f t="shared" si="19"/>
        <v>24.133908083105268</v>
      </c>
      <c r="G589" t="str" cm="1">
        <f t="array" ref="G589">IFERROR(
  _xlfn.IFS(F589="Current City","No Direction",
    OR(F589&gt;=337.5,F589&lt;22.5),"N",
    F589&lt;67.5,"NE",
    F589&lt;112.5,"E",
    F589&lt;157.5,"SE",
    F589&lt;202.5,"S",
    F589&lt;247.5,"SW",
    F589&lt;292.5,"W",
    F589&lt;337.5,"NW"
  ), "No Direction"
)</f>
        <v>NE</v>
      </c>
    </row>
    <row r="590" spans="1:7" x14ac:dyDescent="0.2">
      <c r="A590" t="s">
        <v>1662</v>
      </c>
      <c r="B590" t="s">
        <v>1698</v>
      </c>
      <c r="C590">
        <v>23.564109710550799</v>
      </c>
      <c r="D590">
        <v>88.582930345471496</v>
      </c>
      <c r="E590">
        <f t="shared" si="18"/>
        <v>192.9694505753927</v>
      </c>
      <c r="F590" s="34">
        <f t="shared" si="19"/>
        <v>45.569400796375817</v>
      </c>
      <c r="G590" t="str" cm="1">
        <f t="array" ref="G590">IFERROR(
  _xlfn.IFS(F590="Current City","No Direction",
    OR(F590&gt;=337.5,F590&lt;22.5),"N",
    F590&lt;67.5,"NE",
    F590&lt;112.5,"E",
    F590&lt;157.5,"SE",
    F590&lt;202.5,"S",
    F590&lt;247.5,"SW",
    F590&lt;292.5,"W",
    F590&lt;337.5,"NW"
  ), "No Direction"
)</f>
        <v>NE</v>
      </c>
    </row>
    <row r="591" spans="1:7" x14ac:dyDescent="0.2">
      <c r="A591" t="s">
        <v>1662</v>
      </c>
      <c r="B591" t="s">
        <v>1701</v>
      </c>
      <c r="C591">
        <v>22.062388450676799</v>
      </c>
      <c r="D591">
        <v>88.877939608023397</v>
      </c>
      <c r="E591">
        <f t="shared" si="18"/>
        <v>172.63456396123414</v>
      </c>
      <c r="F591" s="34">
        <f t="shared" si="19"/>
        <v>100.54771544054972</v>
      </c>
      <c r="G591" t="str" cm="1">
        <f t="array" ref="G591">IFERROR(
  _xlfn.IFS(F591="Current City","No Direction",
    OR(F591&gt;=337.5,F591&lt;22.5),"N",
    F591&lt;67.5,"NE",
    F591&lt;112.5,"E",
    F591&lt;157.5,"SE",
    F591&lt;202.5,"S",
    F591&lt;247.5,"SW",
    F591&lt;292.5,"W",
    F591&lt;337.5,"NW"
  ), "No Direction"
)</f>
        <v>E</v>
      </c>
    </row>
    <row r="592" spans="1:7" x14ac:dyDescent="0.2">
      <c r="A592" t="s">
        <v>1662</v>
      </c>
      <c r="B592" t="s">
        <v>1704</v>
      </c>
      <c r="C592">
        <v>23.2541923287671</v>
      </c>
      <c r="D592">
        <v>86.396853287671306</v>
      </c>
      <c r="E592">
        <f t="shared" si="18"/>
        <v>131.56792095938843</v>
      </c>
      <c r="F592" s="34">
        <f t="shared" si="19"/>
        <v>319.62825191373781</v>
      </c>
      <c r="G592" t="str" cm="1">
        <f t="array" ref="G592">IFERROR(
  _xlfn.IFS(F592="Current City","No Direction",
    OR(F592&gt;=337.5,F592&lt;22.5),"N",
    F592&lt;67.5,"NE",
    F592&lt;112.5,"E",
    F592&lt;157.5,"SE",
    F592&lt;202.5,"S",
    F592&lt;247.5,"SW",
    F592&lt;292.5,"W",
    F592&lt;337.5,"NW"
  ), "No Direction"
)</f>
        <v>NW</v>
      </c>
    </row>
    <row r="593" spans="1:7" x14ac:dyDescent="0.2">
      <c r="A593" t="s">
        <v>1662</v>
      </c>
      <c r="B593" t="s">
        <v>1706</v>
      </c>
      <c r="C593">
        <v>21.854427507265999</v>
      </c>
      <c r="D593">
        <v>88.445369708277696</v>
      </c>
      <c r="E593">
        <f t="shared" si="18"/>
        <v>136.92317178477467</v>
      </c>
      <c r="F593" s="34">
        <f t="shared" si="19"/>
        <v>113.75124600513391</v>
      </c>
      <c r="G593" t="str" cm="1">
        <f t="array" ref="G593">IFERROR(
  _xlfn.IFS(F593="Current City","No Direction",
    OR(F593&gt;=337.5,F593&lt;22.5),"N",
    F593&lt;67.5,"NE",
    F593&lt;112.5,"E",
    F593&lt;157.5,"SE",
    F593&lt;202.5,"S",
    F593&lt;247.5,"SW",
    F593&lt;292.5,"W",
    F593&lt;337.5,"NW"
  ), "No Direction"
)</f>
        <v>SE</v>
      </c>
    </row>
    <row r="594" spans="1:7" x14ac:dyDescent="0.2">
      <c r="A594" t="s">
        <v>1662</v>
      </c>
      <c r="B594" t="s">
        <v>1709</v>
      </c>
      <c r="C594">
        <v>26.044619165196899</v>
      </c>
      <c r="D594">
        <v>88.2359523221633</v>
      </c>
      <c r="E594">
        <f t="shared" si="18"/>
        <v>422.74233310207882</v>
      </c>
      <c r="F594" s="34">
        <f t="shared" si="19"/>
        <v>13.747953327760115</v>
      </c>
      <c r="G594" t="str" cm="1">
        <f t="array" ref="G594">IFERROR(
  _xlfn.IFS(F594="Current City","No Direction",
    OR(F594&gt;=337.5,F594&lt;22.5),"N",
    F594&lt;67.5,"NE",
    F594&lt;112.5,"E",
    F594&lt;157.5,"SE",
    F594&lt;202.5,"S",
    F594&lt;247.5,"SW",
    F594&lt;292.5,"W",
    F594&lt;337.5,"NW"
  ), "No Direction"
)</f>
        <v>N</v>
      </c>
    </row>
    <row r="595" spans="1:7" x14ac:dyDescent="0.2">
      <c r="A595" t="s">
        <v>1662</v>
      </c>
      <c r="B595" t="s">
        <v>1712</v>
      </c>
      <c r="C595">
        <v>22.3548969196919</v>
      </c>
      <c r="D595">
        <v>87.231014411441194</v>
      </c>
      <c r="E595">
        <f t="shared" si="18"/>
        <v>0</v>
      </c>
      <c r="F595" s="34" t="str">
        <f t="shared" si="19"/>
        <v>Current City</v>
      </c>
      <c r="G595" t="str" cm="1">
        <f t="array" ref="G595">IFERROR(
  _xlfn.IFS(F595="Current City","No Direction",
    OR(F595&gt;=337.5,F595&lt;22.5),"N",
    F595&lt;67.5,"NE",
    F595&lt;112.5,"E",
    F595&lt;157.5,"SE",
    F595&lt;202.5,"S",
    F595&lt;247.5,"SW",
    F595&lt;292.5,"W",
    F595&lt;337.5,"NW"
  ), "No Direction"
)</f>
        <v>No Direction</v>
      </c>
    </row>
  </sheetData>
  <mergeCells count="1"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district wise centroids</vt:lpstr>
      <vt:lpstr>distance calculator</vt:lpstr>
      <vt:lpstr>select within distance</vt:lpstr>
      <vt:lpstr>select by location</vt:lpstr>
      <vt:lpstr>nearest neighbour</vt:lpstr>
      <vt:lpstr>slope calculation</vt:lpstr>
      <vt:lpstr>BEARING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2026-04-17T13:57:36Z</dcterms:created>
  <dcterms:modified xsi:type="dcterms:W3CDTF">2026-04-19T17:18:04Z</dcterms:modified>
</cp:coreProperties>
</file>